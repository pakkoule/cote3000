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f0e48dc708458a" /></Relationships>
</file>

<file path=xl/workbook.xml><?xml version="1.0" encoding="utf-8"?>
<x:workbook xmlns:x="http://schemas.openxmlformats.org/spreadsheetml/2006/main">
  <x:sheets>
    <x:sheet xmlns:r="http://schemas.openxmlformats.org/officeDocument/2006/relationships" name="Synthèse" sheetId="1" r:id="R5f3c879f14764b05"/>
    <x:sheet xmlns:r="http://schemas.openxmlformats.org/officeDocument/2006/relationships" name="Compagnies maître" sheetId="2" r:id="R81a48cbffc1f49a7"/>
    <x:sheet xmlns:r="http://schemas.openxmlformats.org/officeDocument/2006/relationships" name="Navires détaillés" sheetId="3" r:id="R91de8d41691b4f09"/>
    <x:sheet xmlns:r="http://schemas.openxmlformats.org/officeDocument/2006/relationships" name="Entités complémentaires" sheetId="4" r:id="R2719ea3fa0904332"/>
    <x:sheet xmlns:r="http://schemas.openxmlformats.org/officeDocument/2006/relationships" name="Marques &amp; filiales" sheetId="5" r:id="R8a2e7aae08464656"/>
    <x:sheet xmlns:r="http://schemas.openxmlformats.org/officeDocument/2006/relationships" name="Sources &amp; méthode" sheetId="6" r:id="R07557d6c5848423f"/>
    <x:sheet xmlns:r="http://schemas.openxmlformats.org/officeDocument/2006/relationships" name="Hiérarchie compagnies V5" sheetId="7" r:id="R65879799f5554e98"/>
    <x:sheet xmlns:r="http://schemas.openxmlformats.org/officeDocument/2006/relationships" name="Navires hiérarchisés V5" sheetId="8" r:id="R7680970f09194175"/>
    <x:sheet xmlns:r="http://schemas.openxmlformats.org/officeDocument/2006/relationships" name="Couverture filiales V5" sheetId="9" r:id="R7fe336022d014d47"/>
    <x:sheet xmlns:r="http://schemas.openxmlformats.org/officeDocument/2006/relationships" name="Synthèse V5" sheetId="10" r:id="R43e40ce68fc94a64"/>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b/>
      <x:sz val="16"/>
      <x:color rgb="FFFFFFFF"/>
      <x:name val="Carlito"/>
    </x:font>
    <x:font>
      <x:b/>
      <x:sz val="11"/>
      <x:name val="Carlito"/>
    </x:font>
    <x:font>
      <x:i/>
      <x:sz val="11"/>
      <x:name val="Carlito"/>
    </x:font>
    <x:font>
      <x:sz val="11"/>
      <x:color rgb="FF222222"/>
      <x:name val="Carlito"/>
    </x:font>
  </x:fonts>
  <x:fills count="12">
    <x:fill>
      <x:patternFill patternType="none"/>
    </x:fill>
    <x:fill>
      <x:patternFill patternType="gray125"/>
    </x:fill>
    <x:fill>
      <x:patternFill patternType="solid">
        <x:fgColor rgb="FF0B1F33"/>
      </x:patternFill>
    </x:fill>
    <x:fill>
      <x:patternFill patternType="solid">
        <x:fgColor rgb="FF4C3A67"/>
      </x:patternFill>
    </x:fill>
    <x:fill>
      <x:patternFill patternType="solid">
        <x:fgColor rgb="FF1F4E78"/>
      </x:patternFill>
    </x:fill>
    <x:fill>
      <x:patternFill patternType="solid">
        <x:fgColor rgb="FFEAF2F8"/>
      </x:patternFill>
    </x:fill>
    <x:fill>
      <x:patternFill patternType="solid">
        <x:fgColor rgb="FFFFFFFF"/>
      </x:patternFill>
    </x:fill>
    <x:fill>
      <x:patternFill patternType="solid">
        <x:fgColor rgb="FF0B1F33"/>
      </x:patternFill>
    </x:fill>
    <x:fill>
      <x:patternFill patternType="solid">
        <x:fgColor rgb="FF1F4E78"/>
      </x:patternFill>
    </x:fill>
    <x:fill>
      <x:patternFill patternType="solid">
        <x:fgColor rgb="FFFFF2CC"/>
      </x:patternFill>
    </x:fill>
    <x:fill>
      <x:patternFill patternType="solid">
        <x:fgColor rgb="FFEAF2F8"/>
      </x:patternFill>
    </x:fill>
    <x:fill>
      <x:patternFill patternType="solid">
        <x:fgColor rgb="FFD9EAD3"/>
      </x:patternFill>
    </x:fill>
  </x:fills>
  <x:borders count="2">
    <x:border/>
    <x:border/>
  </x:borders>
  <x:cellStyleXfs count="1">
    <x:xf numFmtId="0" fontId="0" fillId="0" borderId="0"/>
  </x:cellStyleXfs>
  <x:cellXfs count="6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0" fillId="0" borderId="0"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1" fillId="7" borderId="0" xfId="0" applyNumberFormat="1" applyFont="1" applyFill="1" applyBorder="1" applyAlignment="1">
      <x:alignment horizontal="center" vertical="center"/>
    </x:xf>
    <x:xf numFmtId="0" fontId="2" fillId="7" borderId="0" xfId="0" applyNumberFormat="1" applyFont="1" applyFill="1" applyBorder="1"/>
    <x:xf numFmtId="0" fontId="2" fillId="7" borderId="0" xfId="0" applyNumberFormat="1" applyFont="1" applyFill="1" applyBorder="1" applyAlignment="1">
      <x:alignment horizontal="center"/>
    </x:xf>
    <x:xf numFmtId="0" fontId="2" fillId="7" borderId="0" xfId="0" applyNumberFormat="1" applyFont="1" applyFill="1" applyBorder="1" applyAlignment="1">
      <x:alignment horizontal="center" vertical="center"/>
    </x:xf>
    <x:xf numFmtId="0" fontId="0" fillId="8" borderId="0" xfId="0" applyNumberFormat="1" applyFont="1" applyFill="1" applyBorder="1"/>
    <x:xf numFmtId="0" fontId="1" fillId="8" borderId="0" xfId="0" applyNumberFormat="1" applyFont="1" applyFill="1" applyBorder="1"/>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4" fillId="9" borderId="0" xfId="0" applyNumberFormat="1" applyFont="1" applyFill="1" applyBorder="1" applyAlignment="1">
      <x:alignment vertical="top" wrapText="1"/>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4" fillId="1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vertical="top" wrapText="1"/>
    </x:xf>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top"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3" fillId="11" borderId="0" xfId="0" applyNumberFormat="1" applyFont="1" applyFill="1" applyBorder="1" applyAlignment="1">
      <x:alignment vertical="top" wrapText="1"/>
    </x:xf>
  </x:cellXfs>
  <x:cellStyles count="1">
    <x:cellStyle name="Normal" xfId="0"/>
  </x:cellStyles>
  <x:dxfs count="28">
    <x:dxf>
      <x:font>
        <x:b/>
      </x:font>
      <x:fill>
        <x:patternFill>
          <x:bgColor rgb="FFD9EAD3"/>
        </x:patternFill>
      </x:fill>
    </x:dxf>
    <x:dxf>
      <x:font>
        <x:b/>
      </x:font>
      <x:fill>
        <x:patternFill>
          <x:bgColor rgb="FFE2F0D9"/>
        </x:patternFill>
      </x:fill>
    </x:dxf>
    <x:dxf>
      <x:fill>
        <x:patternFill>
          <x:bgColor rgb="FFFFF2CC"/>
        </x:patternFill>
      </x:fill>
    </x:dxf>
    <x:dxf>
      <x:fill>
        <x:patternFill>
          <x:bgColor rgb="FFFCE5CD"/>
        </x:patternFill>
      </x:fill>
    </x:dxf>
    <x:dxf>
      <x:fill>
        <x:patternFill>
          <x:bgColor rgb="FFF4CCCC"/>
        </x:patternFill>
      </x:fill>
    </x:dxf>
    <x:dxf>
      <x:font>
        <x:b/>
      </x:font>
      <x:fill>
        <x:patternFill>
          <x:bgColor rgb="FFD9EAD3"/>
        </x:patternFill>
      </x:fill>
    </x:dxf>
    <x:dxf>
      <x:font>
        <x:b/>
      </x:font>
      <x:fill>
        <x:patternFill>
          <x:bgColor rgb="FFFFF2CC"/>
        </x:patternFill>
      </x:fill>
    </x:dxf>
    <x:dxf>
      <x:fill>
        <x:patternFill>
          <x:bgColor rgb="FFF4CCCC"/>
        </x:patternFill>
      </x:fill>
    </x:dxf>
    <x:dxf>
      <x:font>
        <x:b/>
      </x:font>
      <x:fill>
        <x:patternFill>
          <x:bgColor rgb="FFD9D2E9"/>
        </x:patternFill>
      </x:fill>
    </x:dxf>
    <x:dxf>
      <x:font>
        <x:b/>
      </x:font>
      <x:fill>
        <x:patternFill>
          <x:bgColor rgb="FFD9EAD3"/>
        </x:patternFill>
      </x:fill>
    </x:dxf>
    <x:dxf>
      <x:font>
        <x:b/>
      </x:font>
      <x:fill>
        <x:patternFill>
          <x:bgColor rgb="FFFFF2CC"/>
        </x:patternFill>
      </x:fill>
    </x:dxf>
    <x:dxf>
      <x:fill>
        <x:patternFill>
          <x:bgColor rgb="FFF4CCCC"/>
        </x:patternFill>
      </x:fill>
    </x:dxf>
    <x:dxf>
      <x:font>
        <x:b/>
      </x:font>
      <x:fill>
        <x:patternFill>
          <x:bgColor rgb="FFD9EAD3"/>
        </x:patternFill>
      </x:fill>
    </x:dxf>
    <x:dxf>
      <x:fill>
        <x:patternFill>
          <x:bgColor rgb="FFEEEEEE"/>
        </x:patternFill>
      </x:fill>
    </x:dxf>
    <x:dxf>
      <x:font>
        <x:b/>
        <x:color rgb="FF0B1F33"/>
      </x:font>
      <x:fill>
        <x:patternFill patternType="solid">
          <x:bgColor rgb="FFD9EAF7"/>
        </x:patternFill>
      </x:fill>
    </x:dxf>
    <x:dxf>
      <x:font>
        <x:b/>
      </x:font>
      <x:fill>
        <x:patternFill patternType="solid">
          <x:bgColor rgb="FFD9EAF7"/>
        </x:patternFill>
      </x:fill>
    </x:dxf>
    <x:dxf>
      <x:fill>
        <x:patternFill patternType="solid">
          <x:bgColor rgb="FFF4F7FA"/>
        </x:patternFill>
      </x:fill>
    </x:dxf>
    <x:dxf>
      <x:font>
        <x:b/>
      </x:font>
      <x:fill>
        <x:patternFill patternType="solid">
          <x:bgColor rgb="FFD9EAD3"/>
        </x:patternFill>
      </x:fill>
    </x:dxf>
    <x:dxf>
      <x:fill>
        <x:patternFill patternType="solid">
          <x:bgColor rgb="FFEEEEEE"/>
        </x:patternFill>
      </x:fill>
    </x:dxf>
    <x:dxf>
      <x:font>
        <x:b/>
      </x:font>
      <x:fill>
        <x:patternFill patternType="solid">
          <x:bgColor rgb="FFD9EAD3"/>
        </x:patternFill>
      </x:fill>
    </x:dxf>
    <x:dxf>
      <x:font>
        <x:b/>
      </x:font>
      <x:fill>
        <x:patternFill patternType="solid">
          <x:bgColor rgb="FFE2F0D9"/>
        </x:patternFill>
      </x:fill>
    </x:dxf>
    <x:dxf>
      <x:font/>
      <x:fill>
        <x:patternFill patternType="solid">
          <x:bgColor rgb="FFFFF2CC"/>
        </x:patternFill>
      </x:fill>
    </x:dxf>
    <x:dxf>
      <x:font/>
      <x:fill>
        <x:patternFill patternType="solid">
          <x:bgColor rgb="FFFCE5CD"/>
        </x:patternFill>
      </x:fill>
    </x:dxf>
    <x:dxf>
      <x:font/>
      <x:fill>
        <x:patternFill patternType="solid">
          <x:bgColor rgb="FFF4CCCC"/>
        </x:patternFill>
      </x:fill>
    </x:dxf>
    <x:dxf>
      <x:fill>
        <x:patternFill patternType="solid">
          <x:bgColor rgb="FFD9EAD3"/>
        </x:patternFill>
      </x:fill>
    </x:dxf>
    <x:dxf>
      <x:fill>
        <x:patternFill patternType="solid">
          <x:bgColor rgb="FFFFF2CC"/>
        </x:patternFill>
      </x:fill>
    </x:dxf>
    <x:dxf>
      <x:fill>
        <x:patternFill patternType="solid">
          <x:bgColor rgb="FFFCE5CD"/>
        </x:patternFill>
      </x:fill>
    </x:dxf>
    <x:dxf>
      <x:font>
        <x:b/>
        <x:color rgb="FF0B1F33"/>
      </x:font>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67214359a3742c1" /><Relationship Type="http://schemas.openxmlformats.org/officeDocument/2006/relationships/theme" Target="/xl/theme/theme1.xml" Id="R6061b2fb0cf54f0d" /><Relationship Type="http://schemas.openxmlformats.org/officeDocument/2006/relationships/sharedStrings" Target="/xl/sharedStrings.xml" Id="R67e00034bcfa4d97" /><Relationship Type="http://schemas.openxmlformats.org/officeDocument/2006/relationships/worksheet" Target="/xl/worksheets/sheet1.xml" Id="R5f3c879f14764b05" /><Relationship Type="http://schemas.openxmlformats.org/officeDocument/2006/relationships/worksheet" Target="/xl/worksheets/sheet2.xml" Id="R81a48cbffc1f49a7" /><Relationship Type="http://schemas.openxmlformats.org/officeDocument/2006/relationships/worksheet" Target="/xl/worksheets/sheet3.xml" Id="R91de8d41691b4f09" /><Relationship Type="http://schemas.openxmlformats.org/officeDocument/2006/relationships/worksheet" Target="/xl/worksheets/sheet4.xml" Id="R2719ea3fa0904332" /><Relationship Type="http://schemas.openxmlformats.org/officeDocument/2006/relationships/worksheet" Target="/xl/worksheets/sheet5.xml" Id="R8a2e7aae08464656" /><Relationship Type="http://schemas.openxmlformats.org/officeDocument/2006/relationships/worksheet" Target="/xl/worksheets/sheet6.xml" Id="R07557d6c5848423f" /><Relationship Type="http://schemas.openxmlformats.org/officeDocument/2006/relationships/worksheet" Target="/xl/worksheets/sheet7.xml" Id="R65879799f5554e98" /><Relationship Type="http://schemas.openxmlformats.org/officeDocument/2006/relationships/worksheet" Target="/xl/worksheets/sheet8.xml" Id="R7680970f09194175" /><Relationship Type="http://schemas.openxmlformats.org/officeDocument/2006/relationships/worksheet" Target="/xl/worksheets/sheet9.xml" Id="R7fe336022d014d47" /><Relationship Type="http://schemas.openxmlformats.org/officeDocument/2006/relationships/worksheet" Target="/xl/worksheets/sheet10.xml" Id="R43e40ce68fc94a64" /></Relationships>
</file>

<file path=xl/drawings/_rels/drawing1.xml.rels>&#65279;<?xml version="1.0" encoding="utf-8"?><Relationships xmlns="http://schemas.openxmlformats.org/package/2006/relationships"><Relationship Type="http://schemas.openxmlformats.org/officeDocument/2006/relationships/chart" Target="/xl/drawings/charts/chart1.xml" Id="Rf8dfb07fc1a2439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Navires identifiés au Havre par compagnie - Top 10</a:t>
            </a:r>
          </a:p>
        </c:rich>
      </c:tx>
    </c:title>
    <c:plotArea>
      <c:barChart>
        <c:barDir val="col"/>
        <c:varyColors val="0"/>
        <c:ser>
          <c:idx val="0"/>
          <c:order val="0"/>
          <c:tx>
            <c:v>Navires Le Havre</c:v>
          </c:tx>
          <c:cat>
            <c:strRef>
              <c:f>'Synthèse'!$A$14:$A$23</c:f>
              <c:strCache>
                <c:ptCount val="0"/>
              </c:strCache>
            </c:strRef>
          </c:cat>
          <c:val>
            <c:numRef>
              <c:f>'Synthèse'!$B$14:$B$23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10</xdr:row>
      <xdr:rowOff>0</xdr:rowOff>
    </xdr:from>
    <xdr:to>
      <xdr:col>8</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8dfb07fc1a2439a"/>
        </a:graphicData>
      </a:graphic>
    </xdr:graphicFrame>
    <xdr:clientData/>
  </xdr:twoCellAnchor>
</xdr:wsDr>
</file>

<file path=xl/tables/table1.xml><?xml version="1.0" encoding="utf-8"?>
<x:table xmlns:x="http://schemas.openxmlformats.org/spreadsheetml/2006/main" id="2" name="CompagniesMaitre" displayName="CompagniesMaitre" ref="A1:M90" headerRowCount="1" totalsRowCount="0" totalsRowShown="0">
  <x:tableColumns count="13">
    <x:tableColumn id="1" name="Ordre référentiel"/>
    <x:tableColumn id="2" name="Statut Europe"/>
    <x:tableColumn id="3" name="Compagnie / groupe"/>
    <x:tableColumn id="4" name="Pays / siège"/>
    <x:tableColumn id="5" name="Profil"/>
    <x:tableColumn id="6" name="Zones principales"/>
    <x:tableColumn id="7" name="Marques / filiales"/>
    <x:tableColumn id="8" name="Site"/>
    <x:tableColumn id="9" name="Empreinte Europe / remarque"/>
    <x:tableColumn id="10" name="Nb navires Le Havre"/>
    <x:tableColumn id="11" name="Présence Le Havre"/>
    <x:tableColumn id="12" name="Nb preuves A1/A2"/>
    <x:tableColumn id="13" name="Note"/>
  </x:tableColumns>
  <x:tableStyleInfo name="TableStyleMedium2" showFirstColumn="0" showLastColumn="0" showRowStripes="1" showColumnStripes="0"/>
</x:table>
</file>

<file path=xl/tables/table2.xml><?xml version="1.0" encoding="utf-8"?>
<x:table xmlns:x="http://schemas.openxmlformats.org/spreadsheetml/2006/main" id="1" name="NaviresFusion" displayName="NaviresFusion" ref="A1:N229" headerRowCount="1" totalsRowCount="0" totalsRowShown="0">
  <x:tableColumns count="14">
    <x:tableColumn id="1" name="Rattachement référentiel"/>
    <x:tableColumn id="2" name="Type rattachement"/>
    <x:tableColumn id="3" name="Statut Europe"/>
    <x:tableColumn id="4" name="Groupe source navires"/>
    <x:tableColumn id="5" name="Compagnie / marque / service"/>
    <x:tableColumn id="6" name="Navire"/>
    <x:tableColumn id="7" name="IMO"/>
    <x:tableColumn id="8" name="Date d'escale / preuve"/>
    <x:tableColumn id="9" name="Année"/>
    <x:tableColumn id="10" name="Service / rotation"/>
    <x:tableColumn id="11" name="Terminal / zone"/>
    <x:tableColumn id="12" name="Niveau de preuve"/>
    <x:tableColumn id="13" name="Source URL"/>
    <x:tableColumn id="14" name="Notes"/>
  </x:tableColumns>
  <x:tableStyleInfo name="TableStyleMedium2" showFirstColumn="0" showLastColumn="0" showRowStripes="1" showColumnStripes="0"/>
</x:table>
</file>

<file path=xl/tables/table3.xml><?xml version="1.0" encoding="utf-8"?>
<x:table xmlns:x="http://schemas.openxmlformats.org/spreadsheetml/2006/main" id="3" name="EntitesComplementaires" displayName="EntitesComplementaires" ref="A1:E4" headerRowCount="1" totalsRowCount="0" totalsRowShown="0">
  <x:tableColumns count="5">
    <x:tableColumn id="1" name="Entité"/>
    <x:tableColumn id="2" name="Type"/>
    <x:tableColumn id="3" name="Nb navires"/>
    <x:tableColumn id="4" name="Traitement dans la fusion"/>
    <x:tableColumn id="5" name="Commentaire"/>
  </x:tableColumns>
  <x:tableStyleInfo name="TableStyleMedium2" showFirstColumn="0" showLastColumn="0" showRowStripes="1" showColumnStripes="0"/>
</x:table>
</file>

<file path=xl/tables/table4.xml><?xml version="1.0" encoding="utf-8"?>
<x:table xmlns:x="http://schemas.openxmlformats.org/spreadsheetml/2006/main" id="4" name="MarquesFiliales" displayName="MarquesFiliales" ref="A1:D37" headerRowCount="1" totalsRowCount="0" totalsRowShown="0">
  <x:tableColumns count="4">
    <x:tableColumn id="1" name="Marque / nom"/>
    <x:tableColumn id="2" name="Groupe"/>
    <x:tableColumn id="3" name="Statut"/>
    <x:tableColumn id="4" name="Commentaire"/>
  </x:tableColumns>
  <x:tableStyleInfo name="TableStyleMedium2" showFirstColumn="0" showLastColumn="0" showRowStripes="1" showColumnStripes="0"/>
</x:table>
</file>

<file path=xl/tables/table5.xml><?xml version="1.0" encoding="utf-8"?>
<x:table xmlns:x="http://schemas.openxmlformats.org/spreadsheetml/2006/main" id="5" name="HierarchieCompagniesV5" displayName="HierarchieCompagniesV5" ref="A1:Q153" headerRowCount="1" totalsRowCount="0" totalsRowShown="0">
  <x:tableColumns count="17">
    <x:tableColumn id="1" name="Groupe_ID"/>
    <x:tableColumn id="2" name="Entité_ID"/>
    <x:tableColumn id="3" name="Repère"/>
    <x:tableColumn id="4" name="Niveau"/>
    <x:tableColumn id="5" name="Entité"/>
    <x:tableColumn id="6" name="Maison mère / groupe"/>
    <x:tableColumn id="7" name="Relation"/>
    <x:tableColumn id="8" name="Statut 2026"/>
    <x:tableColumn id="9" name="Statut Europe parent"/>
    <x:tableColumn id="10" name="Pays / siège parent"/>
    <x:tableColumn id="11" name="Profil parent"/>
    <x:tableColumn id="12" name="Nb filiales / marques"/>
    <x:tableColumn id="13" name="Nb navires Le Havre"/>
    <x:tableColumn id="14" name="Présence Le Havre"/>
    <x:tableColumn id="15" name="Source hiérarchie"/>
    <x:tableColumn id="16" name="Couverture filiales"/>
    <x:tableColumn id="17" name="Dans V4 89 ?"/>
  </x:tableColumns>
  <x:tableStyleInfo name="TableStyleMedium2" showFirstColumn="0" showLastColumn="0" showRowStripes="1" showColumnStripes="0"/>
</x:table>
</file>

<file path=xl/tables/table6.xml><?xml version="1.0" encoding="utf-8"?>
<x:table xmlns:x="http://schemas.openxmlformats.org/spreadsheetml/2006/main" id="6" name="NaviresHierarchisesV5" displayName="NaviresHierarchisesV5" ref="A1:P229" headerRowCount="1" totalsRowCount="0" totalsRowShown="0">
  <x:tableColumns count="16">
    <x:tableColumn id="1" name="Groupe_ID"/>
    <x:tableColumn id="2" name="Entité_ID"/>
    <x:tableColumn id="3" name="Maison mère / groupe"/>
    <x:tableColumn id="4" name="Entité opérationnelle"/>
    <x:tableColumn id="5" name="Règle de rattachement"/>
    <x:tableColumn id="6" name="Groupe source navires"/>
    <x:tableColumn id="7" name="Compagnie / marque / service"/>
    <x:tableColumn id="8" name="Navire"/>
    <x:tableColumn id="9" name="IMO"/>
    <x:tableColumn id="10" name="Date d'escale / preuve"/>
    <x:tableColumn id="11" name="Année"/>
    <x:tableColumn id="12" name="Service / rotation"/>
    <x:tableColumn id="13" name="Terminal / zone"/>
    <x:tableColumn id="14" name="Niveau de preuve"/>
    <x:tableColumn id="15" name="Source URL"/>
    <x:tableColumn id="16" name="Notes"/>
  </x:tableColumns>
  <x:tableStyleInfo name="TableStyleMedium2" showFirstColumn="0" showLastColumn="0" showRowStripes="1" showColumnStripes="0"/>
</x:table>
</file>

<file path=xl/tables/table7.xml><?xml version="1.0" encoding="utf-8"?>
<x:table xmlns:x="http://schemas.openxmlformats.org/spreadsheetml/2006/main" id="7" name="CouvertureFilialesV5" displayName="CouvertureFilialesV5" ref="A1:H94" headerRowCount="1" totalsRowCount="0" totalsRowShown="0">
  <x:tableColumns count="8">
    <x:tableColumn id="1" name="Groupe_ID"/>
    <x:tableColumn id="2" name="Maison mère / groupe"/>
    <x:tableColumn id="3" name="Dans V4 89 ?"/>
    <x:tableColumn id="4" name="Statut Europe"/>
    <x:tableColumn id="5" name="Nb filiales / marques identifiées"/>
    <x:tableColumn id="6" name="Nb navires Le Havre"/>
    <x:tableColumn id="7" name="Source de couverture"/>
    <x:tableColumn id="8" name="État de couvertu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1a73fa038da4d67" /></Relationships>
</file>

<file path=xl/worksheets/_rels/sheet2.xml.rels>&#65279;<?xml version="1.0" encoding="utf-8"?><Relationships xmlns="http://schemas.openxmlformats.org/package/2006/relationships"><Relationship Type="http://schemas.openxmlformats.org/officeDocument/2006/relationships/table" Target="/xl/tables/table1.xml" Id="Rea5f834b2df04ed3" /></Relationships>
</file>

<file path=xl/worksheets/_rels/sheet3.xml.rels>&#65279;<?xml version="1.0" encoding="utf-8"?><Relationships xmlns="http://schemas.openxmlformats.org/package/2006/relationships"><Relationship Type="http://schemas.openxmlformats.org/officeDocument/2006/relationships/table" Target="/xl/tables/table2.xml" Id="Rcd0568ae1cc74fea" /></Relationships>
</file>

<file path=xl/worksheets/_rels/sheet4.xml.rels>&#65279;<?xml version="1.0" encoding="utf-8"?><Relationships xmlns="http://schemas.openxmlformats.org/package/2006/relationships"><Relationship Type="http://schemas.openxmlformats.org/officeDocument/2006/relationships/table" Target="/xl/tables/table3.xml" Id="R2001b1c95f5b4bd2" /></Relationships>
</file>

<file path=xl/worksheets/_rels/sheet5.xml.rels>&#65279;<?xml version="1.0" encoding="utf-8"?><Relationships xmlns="http://schemas.openxmlformats.org/package/2006/relationships"><Relationship Type="http://schemas.openxmlformats.org/officeDocument/2006/relationships/table" Target="/xl/tables/table4.xml" Id="Rb772eca07cb24f0e" /></Relationships>
</file>

<file path=xl/worksheets/_rels/sheet7.xml.rels>&#65279;<?xml version="1.0" encoding="utf-8"?><Relationships xmlns="http://schemas.openxmlformats.org/package/2006/relationships"><Relationship Type="http://schemas.openxmlformats.org/officeDocument/2006/relationships/table" Target="/xl/tables/table5.xml" Id="R18dde93fcd024752" /></Relationships>
</file>

<file path=xl/worksheets/_rels/sheet8.xml.rels>&#65279;<?xml version="1.0" encoding="utf-8"?><Relationships xmlns="http://schemas.openxmlformats.org/package/2006/relationships"><Relationship Type="http://schemas.openxmlformats.org/officeDocument/2006/relationships/table" Target="/xl/tables/table6.xml" Id="R7e2a99b44f354eb9" /></Relationships>
</file>

<file path=xl/worksheets/_rels/sheet9.xml.rels>&#65279;<?xml version="1.0" encoding="utf-8"?><Relationships xmlns="http://schemas.openxmlformats.org/package/2006/relationships"><Relationship Type="http://schemas.openxmlformats.org/officeDocument/2006/relationships/table" Target="/xl/tables/table7.xml" Id="R017361a097954f16" /></Relationships>
</file>

<file path=xl/worksheets/sheet1.xml><?xml version="1.0" encoding="utf-8"?>
<x:worksheet xmlns:x="http://schemas.openxmlformats.org/spreadsheetml/2006/main">
  <x:sheetFormatPr defaultRowHeight="15"/>
  <x:cols>
    <x:col min="1" max="1" width="42" hidden="0" customWidth="1"/>
    <x:col min="2" max="2" width="18" hidden="0" customWidth="1"/>
    <x:col min="4" max="4" width="14" hidden="0" customWidth="1"/>
    <x:col min="5" max="5" width="42" hidden="0" customWidth="1"/>
    <x:col min="6" max="6" width="20" hidden="0" customWidth="1"/>
  </x:cols>
  <x:sheetData>
    <x:row r="1" ht="32" customHeight="1">
      <x:c r="A1" s="20" t="str">
        <x:v>RÉFÉRENTIEL FUSIONNÉ - COMPAGNIES MARITIMES + NAVIRES LE HAVRE</x:v>
      </x:c>
      <x:c r="B1" s="20"/>
      <x:c r="C1" s="20"/>
      <x:c r="D1" s="20"/>
      <x:c r="E1" s="20"/>
      <x:c r="F1" s="20"/>
      <x:c r="G1" s="20"/>
      <x:c r="H1" s="20"/>
    </x:row>
    <x:row r="3">
      <x:c r="A3" s="25" t="str">
        <x:v>Indicateur</x:v>
      </x:c>
      <x:c r="B3" s="25" t="str">
        <x:v>Valeur</x:v>
      </x:c>
      <x:c r="D3" s="25" t="str">
        <x:v>Code</x:v>
      </x:c>
      <x:c r="E3" s="25" t="str">
        <x:v>Sens</x:v>
      </x:c>
      <x:c r="F3" s="25" t="str">
        <x:v>Utilisation</x:v>
      </x:c>
    </x:row>
    <x:row r="4">
      <x:c r="A4" s="28" t="str">
        <x:v>Compagnies / groupes V4</x:v>
      </x:c>
      <x:c r="B4" t="n">
        <x:f>COUNTA('Compagnies maître'!C2:C90)</x:f>
        <x:v>89</x:v>
      </x:c>
      <x:c r="D4" s="10" t="str">
        <x:v>EU-A</x:v>
      </x:c>
      <x:c r="E4" s="10" t="str">
        <x:v>Activité Europe documentée</x:v>
      </x:c>
      <x:c r="F4" s="10" t="str">
        <x:v>Compagnie V4</x:v>
      </x:c>
    </x:row>
    <x:row r="5">
      <x:c r="A5" s="28" t="str">
        <x:v>Activité Europe identifiée (EU-A + EU-B)</x:v>
      </x:c>
      <x:c r="B5" t="n">
        <x:f>COUNTIF('Compagnies maître'!B2:B90,"EU-A")+COUNTIF('Compagnies maître'!B2:B90,"EU-B")</x:f>
        <x:v>42</x:v>
      </x:c>
      <x:c r="D5" s="10" t="str">
        <x:v>EU-B</x:v>
      </x:c>
      <x:c r="E5" s="10" t="str">
        <x:v>Activité Europe limitée / indirecte / à revalider</x:v>
      </x:c>
      <x:c r="F5" s="10" t="str">
        <x:v>Compagnie V4</x:v>
      </x:c>
    </x:row>
    <x:row r="6">
      <x:c r="A6" s="28" t="str">
        <x:v>Sans service Europe identifié (NE)</x:v>
      </x:c>
      <x:c r="B6" t="n">
        <x:f>COUNTIF('Compagnies maître'!B2:B90,"NE")</x:f>
        <x:v>47</x:v>
      </x:c>
      <x:c r="D6" s="10" t="str">
        <x:v>NE</x:v>
      </x:c>
      <x:c r="E6" s="10" t="str">
        <x:v>Aucun service Europe identifié dans la V4</x:v>
      </x:c>
      <x:c r="F6" s="10" t="str">
        <x:v>Compagnie V4</x:v>
      </x:c>
    </x:row>
    <x:row r="7">
      <x:c r="A7" s="28" t="str">
        <x:v>Navires uniques dans la base</x:v>
      </x:c>
      <x:c r="B7" t="n">
        <x:f>COUNTA('Navires détaillés'!F2:F229)</x:f>
        <x:v>228</x:v>
      </x:c>
      <x:c r="D7" s="10" t="str">
        <x:v>A1 / A2</x:v>
      </x:c>
      <x:c r="E7" s="10" t="str">
        <x:v>Preuve portuaire ou AIS forte</x:v>
      </x:c>
      <x:c r="F7" s="10" t="str">
        <x:v>Navire</x:v>
      </x:c>
    </x:row>
    <x:row r="8">
      <x:c r="A8" s="28" t="str">
        <x:v>Navires rattachés aux 89 compagnies</x:v>
      </x:c>
      <x:c r="B8" t="n">
        <x:f>COUNTIF('Navires détaillés'!B2:B229,"Référentiel V4")</x:f>
        <x:v>224</x:v>
      </x:c>
      <x:c r="D8" s="10" t="str">
        <x:v>B1 / B2 / C</x:v>
      </x:c>
      <x:c r="E8" s="10" t="str">
        <x:v>Schedule/advisory/source secondaire datée</x:v>
      </x:c>
      <x:c r="F8" s="10" t="str">
        <x:v>Navire</x:v>
      </x:c>
    </x:row>
    <x:row r="9">
      <x:c r="A9" s="28" t="str">
        <x:v>Cas complémentaires hors V4</x:v>
      </x:c>
      <x:c r="B9" t="n">
        <x:f>COUNTIF('Navires détaillés'!B2:B229,"Complément hors V4")</x:f>
        <x:v>4</x:v>
      </x:c>
    </x:row>
    <x:row r="10">
      <x:c r="A10" s="28" t="str">
        <x:v>Compagnies V4 avec ≥1 navire au Havre</x:v>
      </x:c>
      <x:c r="B10" t="n">
        <x:f>COUNTIF('Compagnies maître'!K2:K90,"OUI")</x:f>
        <x:v>13</x:v>
      </x:c>
    </x:row>
    <x:row r="13">
      <x:c r="A13" s="25" t="str">
        <x:v>Top compagnies rattachées</x:v>
      </x:c>
      <x:c r="B13" s="25" t="str">
        <x:v>Navires Le Havre</x:v>
      </x:c>
    </x:row>
    <x:row r="14">
      <x:c r="A14" t="str">
        <x:v>MSC (Mediterranean Shipping Company)</x:v>
      </x:c>
      <x:c r="B14" t="n">
        <x:f>COUNTIF('Navires détaillés'!$A$2:$A$229,A14)</x:f>
        <x:v>76</x:v>
      </x:c>
    </x:row>
    <x:row r="15">
      <x:c r="A15" t="str">
        <x:v>CMA CGM Group</x:v>
      </x:c>
      <x:c r="B15" t="n">
        <x:f>COUNTIF('Navires détaillés'!$A$2:$A$229,A15)</x:f>
        <x:v>62</x:v>
      </x:c>
    </x:row>
    <x:row r="16">
      <x:c r="A16" t="str">
        <x:v>Ocean Network Express (ONE)</x:v>
      </x:c>
      <x:c r="B16" t="n">
        <x:f>COUNTIF('Navires détaillés'!$A$2:$A$229,A16)</x:f>
        <x:v>33</x:v>
      </x:c>
    </x:row>
    <x:row r="17">
      <x:c r="A17" t="str">
        <x:v>COSCO Shipping Lines / COSCO Group</x:v>
      </x:c>
      <x:c r="B17" t="n">
        <x:f>COUNTIF('Navires détaillés'!$A$2:$A$229,A17)</x:f>
        <x:v>16</x:v>
      </x:c>
    </x:row>
    <x:row r="18">
      <x:c r="A18" t="str">
        <x:v>Hapag-Lloyd</x:v>
      </x:c>
      <x:c r="B18" t="n">
        <x:f>COUNTIF('Navires détaillés'!$A$2:$A$229,A18)</x:f>
        <x:v>15</x:v>
      </x:c>
    </x:row>
    <x:row r="19">
      <x:c r="A19" t="str">
        <x:v>Maersk (A.P. Moller-Maersk)</x:v>
      </x:c>
      <x:c r="B19" t="n">
        <x:f>COUNTIF('Navires détaillés'!$A$2:$A$229,A19)</x:f>
        <x:v>10</x:v>
      </x:c>
    </x:row>
    <x:row r="20">
      <x:c r="A20" t="str">
        <x:v>Evergreen Marine / Evergreen Line</x:v>
      </x:c>
      <x:c r="B20" t="n">
        <x:f>COUNTIF('Navires détaillés'!$A$2:$A$229,A20)</x:f>
        <x:v>4</x:v>
      </x:c>
    </x:row>
    <x:row r="21">
      <x:c r="A21" t="str">
        <x:v>HMM</x:v>
      </x:c>
      <x:c r="B21" t="n">
        <x:f>COUNTIF('Navires détaillés'!$A$2:$A$229,A21)</x:f>
        <x:v>3</x:v>
      </x:c>
    </x:row>
    <x:row r="22">
      <x:c r="A22" t="str">
        <x:v>Marfret</x:v>
      </x:c>
      <x:c r="B22" t="n">
        <x:f>COUNTIF('Navires détaillés'!$A$2:$A$229,A22)</x:f>
        <x:v>1</x:v>
      </x:c>
    </x:row>
    <x:row r="23">
      <x:c r="A23" t="str">
        <x:v>Shipping Corporation of India (SCI)</x:v>
      </x:c>
      <x:c r="B23" t="n">
        <x:f>COUNTIF('Navires détaillés'!$A$2:$A$229,A23)</x:f>
        <x:v>1</x:v>
      </x:c>
    </x:row>
    <x:row r="30">
      <x:c r="A30" s="33" t="str">
        <x:v>Lecture : « Compagnies maître » conserve les 89 opérateurs de la V4, y compris ceux pour lesquels aucun navire n'a encore été identifié au Havre. « Navires détaillés » contient les 228 navires et leur rattachement consolidé. WEC Lines est compté sous MSC, OOCL sous COSCO Group, tout en conservant la marque opérationnelle.</x:v>
      </x:c>
      <x:c r="B30" s="33"/>
      <x:c r="C30" s="33"/>
      <x:c r="D30" s="33"/>
      <x:c r="E30" s="33"/>
      <x:c r="F30" s="33"/>
      <x:c r="G30" s="33"/>
      <x:c r="H30" s="33"/>
    </x:row>
    <x:row r="31">
      <x:c r="A31" s="33"/>
      <x:c r="B31" s="33"/>
      <x:c r="C31" s="33"/>
      <x:c r="D31" s="33"/>
      <x:c r="E31" s="33"/>
      <x:c r="F31" s="33"/>
      <x:c r="G31" s="33"/>
      <x:c r="H31" s="33"/>
    </x:row>
    <x:row r="32">
      <x:c r="A32" s="33"/>
      <x:c r="B32" s="33"/>
      <x:c r="C32" s="33"/>
      <x:c r="D32" s="33"/>
      <x:c r="E32" s="33"/>
      <x:c r="F32" s="33"/>
      <x:c r="G32" s="33"/>
      <x:c r="H32" s="33"/>
    </x:row>
    <x:row r="33">
      <x:c r="A33" s="33"/>
      <x:c r="B33" s="33"/>
      <x:c r="C33" s="33"/>
      <x:c r="D33" s="33"/>
      <x:c r="E33" s="33"/>
      <x:c r="F33" s="33"/>
      <x:c r="G33" s="33"/>
      <x:c r="H33" s="33"/>
    </x:row>
    <x:row r="34">
      <x:c r="A34" s="33"/>
      <x:c r="B34" s="33"/>
      <x:c r="C34" s="33"/>
      <x:c r="D34" s="33"/>
      <x:c r="E34" s="33"/>
      <x:c r="F34" s="33"/>
      <x:c r="G34" s="33"/>
      <x:c r="H34" s="33"/>
    </x:row>
  </x:sheetData>
  <x:mergeCells>
    <x:mergeCell ref="A1:H1"/>
    <x:mergeCell ref="A30:H34"/>
  </x:mergeCells>
  <x:pageMargins left="0.7" right="0.7" top="0.75" bottom="0.75" header="0.3" footer="0.3"/>
  <x:drawing xmlns:r="http://schemas.openxmlformats.org/officeDocument/2006/relationships" r:id="Re1a73fa038da4d67"/>
</x:worksheet>
</file>

<file path=xl/worksheets/sheet2.xml><?xml version="1.0" encoding="utf-8"?>
<x:worksheet xmlns:x="http://schemas.openxmlformats.org/spreadsheetml/2006/main">
  <x:sheetFormatPr defaultRowHeight="15"/>
  <x:cols>
    <x:col min="1" max="1" width="13" hidden="0" customWidth="1"/>
    <x:col min="2" max="2" width="13" hidden="0" customWidth="1"/>
    <x:col min="3" max="3" width="34" hidden="0" customWidth="1"/>
    <x:col min="4" max="4" width="22" hidden="0" customWidth="1"/>
    <x:col min="5" max="5" width="22" hidden="0" customWidth="1"/>
    <x:col min="6" max="6" width="35" hidden="0" customWidth="1"/>
    <x:col min="7" max="7" width="38" hidden="0" customWidth="1"/>
    <x:col min="8" max="8" width="24" hidden="0" customWidth="1"/>
    <x:col min="9" max="9" width="42" hidden="0" customWidth="1"/>
    <x:col min="10" max="10" width="18" hidden="0" customWidth="1"/>
    <x:col min="11" max="11" width="17" hidden="0" customWidth="1"/>
    <x:col min="12" max="12" width="16" hidden="0" customWidth="1"/>
    <x:col min="13" max="13" width="36" hidden="0" customWidth="1"/>
    <x:col min="15" max="15" width="20" hidden="0" customWidth="1"/>
    <x:col min="16" max="16" width="20" hidden="0" customWidth="1"/>
    <x:col min="17" max="17" width="20" hidden="0" customWidth="1"/>
    <x:col min="18" max="18" width="20" hidden="0" customWidth="1"/>
  </x:cols>
  <x:sheetData>
    <x:row r="1">
      <x:c r="A1" s="5" t="str">
        <x:v>Ordre référentiel</x:v>
      </x:c>
      <x:c r="B1" s="5" t="str">
        <x:v>Statut Europe</x:v>
      </x:c>
      <x:c r="C1" s="5" t="str">
        <x:v>Compagnie / groupe</x:v>
      </x:c>
      <x:c r="D1" s="5" t="str">
        <x:v>Pays / siège</x:v>
      </x:c>
      <x:c r="E1" s="5" t="str">
        <x:v>Profil</x:v>
      </x:c>
      <x:c r="F1" s="5" t="str">
        <x:v>Zones principales</x:v>
      </x:c>
      <x:c r="G1" s="5" t="str">
        <x:v>Marques / filiales</x:v>
      </x:c>
      <x:c r="H1" s="5" t="str">
        <x:v>Site</x:v>
      </x:c>
      <x:c r="I1" s="5" t="str">
        <x:v>Empreinte Europe / remarque</x:v>
      </x:c>
      <x:c r="J1" s="5" t="str">
        <x:v>Nb navires Le Havre</x:v>
      </x:c>
      <x:c r="K1" s="5" t="str">
        <x:v>Présence Le Havre</x:v>
      </x:c>
      <x:c r="L1" s="5" t="str">
        <x:v>Nb preuves A1/A2</x:v>
      </x:c>
      <x:c r="M1" s="5" t="str">
        <x:v>Note</x:v>
      </x:c>
      <x:c r="O1" s="64" t="str">
        <x:v>V5 : les 89 groupes d'origine restent ici. La nouvelle hiérarchie ajoute des identifiants stables, les filiales/marques et 4 groupes parents supplémentaires repérés dans Alphaliner.</x:v>
      </x:c>
      <x:c r="P1" s="64"/>
      <x:c r="Q1" s="64"/>
      <x:c r="R1" s="64"/>
    </x:row>
    <x:row r="2">
      <x:c r="A2" s="10" t="n">
        <x:v>1</x:v>
      </x:c>
      <x:c r="B2" s="10" t="str">
        <x:v>EU-A</x:v>
      </x:c>
      <x:c r="C2" s="10" t="str">
        <x:v>MSC (Mediterranean Shipping Company)</x:v>
      </x:c>
      <x:c r="D2" s="10" t="str">
        <x:v>Suisse / Genève</x:v>
      </x:c>
      <x:c r="E2" s="10" t="str">
        <x:v>Global deep-sea</x:v>
      </x:c>
      <x:c r="F2" s="10" t="str">
        <x:v>Monde entier</x:v>
      </x:c>
      <x:c r="G2" s="10" t="str">
        <x:v>WEC Lines; Log-In Logística</x:v>
      </x:c>
      <x:c r="H2" s="10" t="str">
        <x:v>msc.com</x:v>
      </x:c>
      <x:c r="I2" s="10" t="str">
        <x:v>Réseau Europe / Méditerranée / Nord Europe</x:v>
      </x:c>
      <x:c r="J2" s="10" t="n">
        <x:f>COUNTIF('Navires détaillés'!$A$2:$A$229,C2)</x:f>
        <x:v>76</x:v>
      </x:c>
      <x:c r="K2" s="10" t="str">
        <x:f>IF(J2&gt;0,"OUI","NON")</x:f>
        <x:v>OUI</x:v>
      </x:c>
      <x:c r="L2" s="10" t="n">
        <x:f>COUNTIFS('Navires détaillés'!$A$2:$A$229,C2,'Navires détaillés'!$L$2:$L$229,"A1")+COUNTIFS('Navires détaillés'!$A$2:$A$229,C2,'Navires détaillés'!$L$2:$L$229,"A2")</x:f>
        <x:v>5</x:v>
      </x:c>
      <x:c r="M2" s="39" t="str"/>
      <x:c r="O2" s="64"/>
      <x:c r="P2" s="64"/>
      <x:c r="Q2" s="64"/>
      <x:c r="R2" s="64"/>
    </x:row>
    <x:row r="3">
      <x:c r="A3" s="10" t="n">
        <x:v>2</x:v>
      </x:c>
      <x:c r="B3" s="10" t="str">
        <x:v>EU-A</x:v>
      </x:c>
      <x:c r="C3" s="10" t="str">
        <x:v>Maersk (A.P. Moller-Maersk)</x:v>
      </x:c>
      <x:c r="D3" s="10" t="str">
        <x:v>Danemark / Copenhague</x:v>
      </x:c>
      <x:c r="E3" s="10" t="str">
        <x:v>Global deep-sea</x:v>
      </x:c>
      <x:c r="F3" s="10" t="str">
        <x:v>Monde entier</x:v>
      </x:c>
      <x:c r="G3" s="10" t="str">
        <x:v>Maersk; Sealand; Hamburg Süd*; Aliança*</x:v>
      </x:c>
      <x:c r="H3" s="10" t="str">
        <x:v>maersk.com</x:v>
      </x:c>
      <x:c r="I3" s="10" t="str">
        <x:v>Gemini + feeders Europe</x:v>
      </x:c>
      <x:c r="J3" s="10" t="n">
        <x:f>COUNTIF('Navires détaillés'!$A$2:$A$229,C3)</x:f>
        <x:v>10</x:v>
      </x:c>
      <x:c r="K3" s="10" t="str">
        <x:f>IF(J3&gt;0,"OUI","NON")</x:f>
        <x:v>OUI</x:v>
      </x:c>
      <x:c r="L3" s="10" t="n">
        <x:f>COUNTIFS('Navires détaillés'!$A$2:$A$229,C3,'Navires détaillés'!$L$2:$L$229,"A1")+COUNTIFS('Navires détaillés'!$A$2:$A$229,C3,'Navires détaillés'!$L$2:$L$229,"A2")</x:f>
        <x:v>0</x:v>
      </x:c>
      <x:c r="M3" s="39" t="str"/>
      <x:c r="O3" s="64"/>
      <x:c r="P3" s="64"/>
      <x:c r="Q3" s="64"/>
      <x:c r="R3" s="64"/>
    </x:row>
    <x:row r="4">
      <x:c r="A4" s="10" t="n">
        <x:v>3</x:v>
      </x:c>
      <x:c r="B4" s="10" t="str">
        <x:v>EU-A</x:v>
      </x:c>
      <x:c r="C4" s="10" t="str">
        <x:v>CMA CGM Group</x:v>
      </x:c>
      <x:c r="D4" s="10" t="str">
        <x:v>France / Marseille</x:v>
      </x:c>
      <x:c r="E4" s="10" t="str">
        <x:v>Global deep-sea</x:v>
      </x:c>
      <x:c r="F4" s="10" t="str">
        <x:v>Monde entier</x:v>
      </x:c>
      <x:c r="G4" s="10" t="str">
        <x:v>APL; ANL; CNC; Containerships; Mercosul; CoMaNav; Sofrana</x:v>
      </x:c>
      <x:c r="H4" s="10" t="str">
        <x:v>cma-cgm.com</x:v>
      </x:c>
      <x:c r="I4" s="10" t="str">
        <x:v>Nord Europe + Méditerranée + short-sea</x:v>
      </x:c>
      <x:c r="J4" s="10" t="n">
        <x:f>COUNTIF('Navires détaillés'!$A$2:$A$229,C4)</x:f>
        <x:v>62</x:v>
      </x:c>
      <x:c r="K4" s="10" t="str">
        <x:f>IF(J4&gt;0,"OUI","NON")</x:f>
        <x:v>OUI</x:v>
      </x:c>
      <x:c r="L4" s="10" t="n">
        <x:f>COUNTIFS('Navires détaillés'!$A$2:$A$229,C4,'Navires détaillés'!$L$2:$L$229,"A1")+COUNTIFS('Navires détaillés'!$A$2:$A$229,C4,'Navires détaillés'!$L$2:$L$229,"A2")</x:f>
        <x:v>3</x:v>
      </x:c>
      <x:c r="M4" s="39" t="str"/>
      <x:c r="O4" s="64"/>
      <x:c r="P4" s="64"/>
      <x:c r="Q4" s="64"/>
      <x:c r="R4" s="64"/>
    </x:row>
    <x:row r="5">
      <x:c r="A5" s="10" t="n">
        <x:v>4</x:v>
      </x:c>
      <x:c r="B5" s="10" t="str">
        <x:v>EU-A</x:v>
      </x:c>
      <x:c r="C5" s="10" t="str">
        <x:v>COSCO Shipping Lines / COSCO Group</x:v>
      </x:c>
      <x:c r="D5" s="10" t="str">
        <x:v>Chine / Shanghai</x:v>
      </x:c>
      <x:c r="E5" s="10" t="str">
        <x:v>Global deep-sea</x:v>
      </x:c>
      <x:c r="F5" s="10" t="str">
        <x:v>Monde entier</x:v>
      </x:c>
      <x:c r="G5" s="10" t="str">
        <x:v>OOCL; Pan Asia; New Golden Sea; Coheung; Diamond Line</x:v>
      </x:c>
      <x:c r="H5" s="10" t="str">
        <x:v>coscoshipping.com</x:v>
      </x:c>
      <x:c r="I5" s="10" t="str">
        <x:v>OCEAN Alliance - Nord Europe / Méditerranée</x:v>
      </x:c>
      <x:c r="J5" s="10" t="n">
        <x:f>COUNTIF('Navires détaillés'!$A$2:$A$229,C5)</x:f>
        <x:v>16</x:v>
      </x:c>
      <x:c r="K5" s="10" t="str">
        <x:f>IF(J5&gt;0,"OUI","NON")</x:f>
        <x:v>OUI</x:v>
      </x:c>
      <x:c r="L5" s="10" t="n">
        <x:f>COUNTIFS('Navires détaillés'!$A$2:$A$229,C5,'Navires détaillés'!$L$2:$L$229,"A1")+COUNTIFS('Navires détaillés'!$A$2:$A$229,C5,'Navires détaillés'!$L$2:$L$229,"A2")</x:f>
        <x:v>0</x:v>
      </x:c>
      <x:c r="M5" s="39" t="str"/>
    </x:row>
    <x:row r="6">
      <x:c r="A6" s="10" t="n">
        <x:v>5</x:v>
      </x:c>
      <x:c r="B6" s="10" t="str">
        <x:v>EU-A</x:v>
      </x:c>
      <x:c r="C6" s="10" t="str">
        <x:v>Hapag-Lloyd</x:v>
      </x:c>
      <x:c r="D6" s="10" t="str">
        <x:v>Allemagne / Hambourg</x:v>
      </x:c>
      <x:c r="E6" s="10" t="str">
        <x:v>Global deep-sea</x:v>
      </x:c>
      <x:c r="F6" s="10" t="str">
        <x:v>Monde entier</x:v>
      </x:c>
      <x:c r="G6" s="10" t="str">
        <x:v>NileDutch*; DAL*; ex-UASC</x:v>
      </x:c>
      <x:c r="H6" s="10" t="str">
        <x:v>hapag-lloyd.com</x:v>
      </x:c>
      <x:c r="I6" s="10" t="str">
        <x:v>Gemini - Nord Europe / Méditerranée</x:v>
      </x:c>
      <x:c r="J6" s="10" t="n">
        <x:f>COUNTIF('Navires détaillés'!$A$2:$A$229,C6)</x:f>
        <x:v>15</x:v>
      </x:c>
      <x:c r="K6" s="10" t="str">
        <x:f>IF(J6&gt;0,"OUI","NON")</x:f>
        <x:v>OUI</x:v>
      </x:c>
      <x:c r="L6" s="10" t="n">
        <x:f>COUNTIFS('Navires détaillés'!$A$2:$A$229,C6,'Navires détaillés'!$L$2:$L$229,"A1")+COUNTIFS('Navires détaillés'!$A$2:$A$229,C6,'Navires détaillés'!$L$2:$L$229,"A2")</x:f>
        <x:v>0</x:v>
      </x:c>
      <x:c r="M6" s="39" t="str"/>
    </x:row>
    <x:row r="7">
      <x:c r="A7" s="10" t="n">
        <x:v>6</x:v>
      </x:c>
      <x:c r="B7" s="10" t="str">
        <x:v>EU-A</x:v>
      </x:c>
      <x:c r="C7" s="10" t="str">
        <x:v>Ocean Network Express (ONE)</x:v>
      </x:c>
      <x:c r="D7" s="10" t="str">
        <x:v>Singapour / Singapour</x:v>
      </x:c>
      <x:c r="E7" s="10" t="str">
        <x:v>Global deep-sea</x:v>
      </x:c>
      <x:c r="F7" s="10" t="str">
        <x:v>Monde entier</x:v>
      </x:c>
      <x:c r="G7" s="10" t="str">
        <x:v>Héritage NYK / MOL / K Line (conteneurs)</x:v>
      </x:c>
      <x:c r="H7" s="10" t="str">
        <x:v>one-line.com</x:v>
      </x:c>
      <x:c r="I7" s="10" t="str">
        <x:v>Premier Alliance - Nord Europe / Méditerranée</x:v>
      </x:c>
      <x:c r="J7" s="10" t="n">
        <x:f>COUNTIF('Navires détaillés'!$A$2:$A$229,C7)</x:f>
        <x:v>33</x:v>
      </x:c>
      <x:c r="K7" s="10" t="str">
        <x:f>IF(J7&gt;0,"OUI","NON")</x:f>
        <x:v>OUI</x:v>
      </x:c>
      <x:c r="L7" s="10" t="n">
        <x:f>COUNTIFS('Navires détaillés'!$A$2:$A$229,C7,'Navires détaillés'!$L$2:$L$229,"A1")+COUNTIFS('Navires détaillés'!$A$2:$A$229,C7,'Navires détaillés'!$L$2:$L$229,"A2")</x:f>
        <x:v>6</x:v>
      </x:c>
      <x:c r="M7" s="39" t="str"/>
    </x:row>
    <x:row r="8">
      <x:c r="A8" s="10" t="n">
        <x:v>7</x:v>
      </x:c>
      <x:c r="B8" s="10" t="str">
        <x:v>EU-A</x:v>
      </x:c>
      <x:c r="C8" s="10" t="str">
        <x:v>Evergreen Marine / Evergreen Line</x:v>
      </x:c>
      <x:c r="D8" s="10" t="str">
        <x:v>Taïwan / Taoyuan</x:v>
      </x:c>
      <x:c r="E8" s="10" t="str">
        <x:v>Global deep-sea</x:v>
      </x:c>
      <x:c r="F8" s="10" t="str">
        <x:v>Monde entier</x:v>
      </x:c>
      <x:c r="G8" s="10" t="str">
        <x:v>Italia Marittima</x:v>
      </x:c>
      <x:c r="H8" s="10" t="str">
        <x:v>evergreen-marine.com</x:v>
      </x:c>
      <x:c r="I8" s="10" t="str">
        <x:v>OCEAN Alliance - Nord Europe / Méditerranée</x:v>
      </x:c>
      <x:c r="J8" s="10" t="n">
        <x:f>COUNTIF('Navires détaillés'!$A$2:$A$229,C8)</x:f>
        <x:v>4</x:v>
      </x:c>
      <x:c r="K8" s="10" t="str">
        <x:f>IF(J8&gt;0,"OUI","NON")</x:f>
        <x:v>OUI</x:v>
      </x:c>
      <x:c r="L8" s="10" t="n">
        <x:f>COUNTIFS('Navires détaillés'!$A$2:$A$229,C8,'Navires détaillés'!$L$2:$L$229,"A1")+COUNTIFS('Navires détaillés'!$A$2:$A$229,C8,'Navires détaillés'!$L$2:$L$229,"A2")</x:f>
        <x:v>1</x:v>
      </x:c>
      <x:c r="M8" s="39" t="str"/>
    </x:row>
    <x:row r="9">
      <x:c r="A9" s="10" t="n">
        <x:v>8</x:v>
      </x:c>
      <x:c r="B9" s="10" t="str">
        <x:v>EU-A</x:v>
      </x:c>
      <x:c r="C9" s="10" t="str">
        <x:v>HMM</x:v>
      </x:c>
      <x:c r="D9" s="10" t="str">
        <x:v>Corée du Sud / Séoul</x:v>
      </x:c>
      <x:c r="E9" s="10" t="str">
        <x:v>Global deep-sea</x:v>
      </x:c>
      <x:c r="F9" s="10" t="str">
        <x:v>Asie-Europe; Transpacifique; autres grands trades</x:v>
      </x:c>
      <x:c r="G9" s="10" t="str">
        <x:v>-</x:v>
      </x:c>
      <x:c r="H9" s="10" t="str">
        <x:v>hmm21.com</x:v>
      </x:c>
      <x:c r="I9" s="10" t="str">
        <x:v>Premier Alliance - Europe</x:v>
      </x:c>
      <x:c r="J9" s="10" t="n">
        <x:f>COUNTIF('Navires détaillés'!$A$2:$A$229,C9)</x:f>
        <x:v>3</x:v>
      </x:c>
      <x:c r="K9" s="10" t="str">
        <x:f>IF(J9&gt;0,"OUI","NON")</x:f>
        <x:v>OUI</x:v>
      </x:c>
      <x:c r="L9" s="10" t="n">
        <x:f>COUNTIFS('Navires détaillés'!$A$2:$A$229,C9,'Navires détaillés'!$L$2:$L$229,"A1")+COUNTIFS('Navires détaillés'!$A$2:$A$229,C9,'Navires détaillés'!$L$2:$L$229,"A2")</x:f>
        <x:v>1</x:v>
      </x:c>
      <x:c r="M9" s="39" t="str"/>
    </x:row>
    <x:row r="10">
      <x:c r="A10" s="10" t="n">
        <x:v>9</x:v>
      </x:c>
      <x:c r="B10" s="10" t="str">
        <x:v>EU-A</x:v>
      </x:c>
      <x:c r="C10" s="10" t="str">
        <x:v>Yang Ming Marine Transport</x:v>
      </x:c>
      <x:c r="D10" s="10" t="str">
        <x:v>Taïwan / Keelung</x:v>
      </x:c>
      <x:c r="E10" s="10" t="str">
        <x:v>Global deep-sea</x:v>
      </x:c>
      <x:c r="F10" s="10" t="str">
        <x:v>Asie-Europe; Transpacifique; Méditerranée; autres</x:v>
      </x:c>
      <x:c r="G10" s="10" t="str">
        <x:v>-</x:v>
      </x:c>
      <x:c r="H10" s="10" t="str">
        <x:v>yangming.com</x:v>
      </x:c>
      <x:c r="I10" s="10" t="str">
        <x:v>Premier Alliance - Europe / Méditerranée</x:v>
      </x:c>
      <x:c r="J10" s="10" t="n">
        <x:f>COUNTIF('Navires détaillés'!$A$2:$A$229,C10)</x:f>
        <x:v>1</x:v>
      </x:c>
      <x:c r="K10" s="10" t="str">
        <x:f>IF(J10&gt;0,"OUI","NON")</x:f>
        <x:v>OUI</x:v>
      </x:c>
      <x:c r="L10" s="10" t="n">
        <x:f>COUNTIFS('Navires détaillés'!$A$2:$A$229,C10,'Navires détaillés'!$L$2:$L$229,"A1")+COUNTIFS('Navires détaillés'!$A$2:$A$229,C10,'Navires détaillés'!$L$2:$L$229,"A2")</x:f>
        <x:v>1</x:v>
      </x:c>
      <x:c r="M10" s="39" t="str"/>
    </x:row>
    <x:row r="11">
      <x:c r="A11" s="10" t="n">
        <x:v>10</x:v>
      </x:c>
      <x:c r="B11" s="10" t="str">
        <x:v>EU-A</x:v>
      </x:c>
      <x:c r="C11" s="10" t="str">
        <x:v>ZIM Integrated Shipping Services</x:v>
      </x:c>
      <x:c r="D11" s="10" t="str">
        <x:v>Israël / Haïfa</x:v>
      </x:c>
      <x:c r="E11" s="10" t="str">
        <x:v>Global niche</x:v>
      </x:c>
      <x:c r="F11" s="10" t="str">
        <x:v>Transpacifique; Atlantique; Amériques; Méditerranée; Intra-Asie</x:v>
      </x:c>
      <x:c r="G11" s="10" t="str">
        <x:v>Gold Star Line</x:v>
      </x:c>
      <x:c r="H11" s="10" t="str">
        <x:v>zim.com</x:v>
      </x:c>
      <x:c r="I11" s="10" t="str">
        <x:v>Atlantique / Méditerranée / Europe</x:v>
      </x:c>
      <x:c r="J11" s="10" t="n">
        <x:f>COUNTIF('Navires détaillés'!$A$2:$A$229,C11)</x:f>
        <x:v>1</x:v>
      </x:c>
      <x:c r="K11" s="10" t="str">
        <x:f>IF(J11&gt;0,"OUI","NON")</x:f>
        <x:v>OUI</x:v>
      </x:c>
      <x:c r="L11" s="10" t="n">
        <x:f>COUNTIFS('Navires détaillés'!$A$2:$A$229,C11,'Navires détaillés'!$L$2:$L$229,"A1")+COUNTIFS('Navires détaillés'!$A$2:$A$229,C11,'Navires détaillés'!$L$2:$L$229,"A2")</x:f>
        <x:v>0</x:v>
      </x:c>
      <x:c r="M11" s="39" t="str"/>
    </x:row>
    <x:row r="12">
      <x:c r="A12" s="10" t="n">
        <x:v>11</x:v>
      </x:c>
      <x:c r="B12" s="10" t="str">
        <x:v>EU-A</x:v>
      </x:c>
      <x:c r="C12" s="10" t="str">
        <x:v>Wan Hai Lines</x:v>
      </x:c>
      <x:c r="D12" s="10" t="str">
        <x:v>Taïwan / Taipei</x:v>
      </x:c>
      <x:c r="E12" s="10" t="str">
        <x:v>Global / régional</x:v>
      </x:c>
      <x:c r="F12" s="10" t="str">
        <x:v>Intra-Asie; Transpacifique; Moyen-Orient; Inde</x:v>
      </x:c>
      <x:c r="G12" s="10" t="str">
        <x:v>-</x:v>
      </x:c>
      <x:c r="H12" s="10" t="str">
        <x:v>wanhai.com</x:v>
      </x:c>
      <x:c r="I12" s="10" t="str">
        <x:v>Service Far East-Méditerranée documenté en 2026</x:v>
      </x:c>
      <x:c r="J12" s="10" t="n">
        <x:f>COUNTIF('Navires détaillés'!$A$2:$A$229,C12)</x:f>
        <x:v>0</x:v>
      </x:c>
      <x:c r="K12" s="10" t="str">
        <x:f>IF(J12&gt;0,"OUI","NON")</x:f>
        <x:v>NON</x:v>
      </x:c>
      <x:c r="L12" s="10" t="n">
        <x:f>COUNTIFS('Navires détaillés'!$A$2:$A$229,C12,'Navires détaillés'!$L$2:$L$229,"A1")+COUNTIFS('Navires détaillés'!$A$2:$A$229,C12,'Navires détaillés'!$L$2:$L$229,"A2")</x:f>
        <x:v>0</x:v>
      </x:c>
      <x:c r="M12" s="39" t="str"/>
    </x:row>
    <x:row r="13">
      <x:c r="A13" s="10" t="n">
        <x:v>12</x:v>
      </x:c>
      <x:c r="B13" s="10" t="str">
        <x:v>NE</x:v>
      </x:c>
      <x:c r="C13" s="10" t="str">
        <x:v>PIL (Pacific International Lines)</x:v>
      </x:c>
      <x:c r="D13" s="10" t="str">
        <x:v>Singapour / Singapour</x:v>
      </x:c>
      <x:c r="E13" s="10" t="str">
        <x:v>Global / régional</x:v>
      </x:c>
      <x:c r="F13" s="10" t="str">
        <x:v>Asie; Afrique; Moyen-Orient; Amériques; Océanie</x:v>
      </x:c>
      <x:c r="G13" s="10" t="str">
        <x:v>Advance Container Line; Mariana Express Lines</x:v>
      </x:c>
      <x:c r="H13" s="10" t="str">
        <x:v>pilship.com</x:v>
      </x:c>
      <x:c r="I13" s="10" t="str">
        <x:v>Réseau actuel: Afrique, Moyen-Orient, intra-Asie, Océanie, Amérique latine</x:v>
      </x:c>
      <x:c r="J13" s="10" t="n">
        <x:f>COUNTIF('Navires détaillés'!$A$2:$A$229,C13)</x:f>
        <x:v>0</x:v>
      </x:c>
      <x:c r="K13" s="10" t="str">
        <x:f>IF(J13&gt;0,"OUI","NON")</x:f>
        <x:v>NON</x:v>
      </x:c>
      <x:c r="L13" s="10" t="n">
        <x:f>COUNTIFS('Navires détaillés'!$A$2:$A$229,C13,'Navires détaillés'!$L$2:$L$229,"A1")+COUNTIFS('Navires détaillés'!$A$2:$A$229,C13,'Navires détaillés'!$L$2:$L$229,"A2")</x:f>
        <x:v>0</x:v>
      </x:c>
      <x:c r="M13" s="39" t="str"/>
    </x:row>
    <x:row r="14">
      <x:c r="A14" s="10" t="n">
        <x:v>13</x:v>
      </x:c>
      <x:c r="B14" s="10" t="str">
        <x:v>EU-A</x:v>
      </x:c>
      <x:c r="C14" s="10" t="str">
        <x:v>X-Press Feeders</x:v>
      </x:c>
      <x:c r="D14" s="10" t="str">
        <x:v>Singapour / Singapour</x:v>
      </x:c>
      <x:c r="E14" s="10" t="str">
        <x:v>Feeder mondial</x:v>
      </x:c>
      <x:c r="F14" s="10" t="str">
        <x:v>Europe; Méditerranée; Moyen-Orient; Asie; Afrique; Amériques</x:v>
      </x:c>
      <x:c r="G14" s="10" t="str">
        <x:v>X-Press Container Line</x:v>
      </x:c>
      <x:c r="H14" s="10" t="str">
        <x:v>x-pressfeeders.com</x:v>
      </x:c>
      <x:c r="I14" s="10" t="str">
        <x:v>Feeder Europe / Méditerranée</x:v>
      </x:c>
      <x:c r="J14" s="10" t="n">
        <x:f>COUNTIF('Navires détaillés'!$A$2:$A$229,C14)</x:f>
        <x:v>1</x:v>
      </x:c>
      <x:c r="K14" s="10" t="str">
        <x:f>IF(J14&gt;0,"OUI","NON")</x:f>
        <x:v>OUI</x:v>
      </x:c>
      <x:c r="L14" s="10" t="n">
        <x:f>COUNTIFS('Navires détaillés'!$A$2:$A$229,C14,'Navires détaillés'!$L$2:$L$229,"A1")+COUNTIFS('Navires détaillés'!$A$2:$A$229,C14,'Navires détaillés'!$L$2:$L$229,"A2")</x:f>
        <x:v>0</x:v>
      </x:c>
      <x:c r="M14" s="39" t="str"/>
    </x:row>
    <x:row r="15">
      <x:c r="A15" s="10" t="n">
        <x:v>14</x:v>
      </x:c>
      <x:c r="B15" s="10" t="str">
        <x:v>NE</x:v>
      </x:c>
      <x:c r="C15" s="10" t="str">
        <x:v>SITC International</x:v>
      </x:c>
      <x:c r="D15" s="10" t="str">
        <x:v>Chine / Hong Kong / Hong Kong</x:v>
      </x:c>
      <x:c r="E15" s="10" t="str">
        <x:v>Régional</x:v>
      </x:c>
      <x:c r="F15" s="10" t="str">
        <x:v>Intra-Asie</x:v>
      </x:c>
      <x:c r="G15" s="10" t="str">
        <x:v>-</x:v>
      </x:c>
      <x:c r="H15" s="10" t="str">
        <x:v>sitc.com</x:v>
      </x:c>
      <x:c r="I15" s="10" t="str">
        <x:v>Intra-Asie</x:v>
      </x:c>
      <x:c r="J15" s="10" t="n">
        <x:f>COUNTIF('Navires détaillés'!$A$2:$A$229,C15)</x:f>
        <x:v>0</x:v>
      </x:c>
      <x:c r="K15" s="10" t="str">
        <x:f>IF(J15&gt;0,"OUI","NON")</x:f>
        <x:v>NON</x:v>
      </x:c>
      <x:c r="L15" s="10" t="n">
        <x:f>COUNTIFS('Navires détaillés'!$A$2:$A$229,C15,'Navires détaillés'!$L$2:$L$229,"A1")+COUNTIFS('Navires détaillés'!$A$2:$A$229,C15,'Navires détaillés'!$L$2:$L$229,"A2")</x:f>
        <x:v>0</x:v>
      </x:c>
      <x:c r="M15" s="39" t="str"/>
    </x:row>
    <x:row r="16">
      <x:c r="A16" s="10" t="n">
        <x:v>15</x:v>
      </x:c>
      <x:c r="B16" s="10" t="str">
        <x:v>NE</x:v>
      </x:c>
      <x:c r="C16" s="10" t="str">
        <x:v>KMTC (Korea Marine Transport)</x:v>
      </x:c>
      <x:c r="D16" s="10" t="str">
        <x:v>Corée du Sud / Séoul</x:v>
      </x:c>
      <x:c r="E16" s="10" t="str">
        <x:v>Régional</x:v>
      </x:c>
      <x:c r="F16" s="10" t="str">
        <x:v>Corée; Chine; Japon; Asie du Sud-Est; Inde</x:v>
      </x:c>
      <x:c r="G16" s="10" t="str">
        <x:v>-</x:v>
      </x:c>
      <x:c r="H16" s="10" t="str">
        <x:v>kmtc.co.kr</x:v>
      </x:c>
      <x:c r="I16" s="10" t="str">
        <x:v>Corée; Chine; Japon; Asie du Sud-Est; Inde</x:v>
      </x:c>
      <x:c r="J16" s="10" t="n">
        <x:f>COUNTIF('Navires détaillés'!$A$2:$A$229,C16)</x:f>
        <x:v>0</x:v>
      </x:c>
      <x:c r="K16" s="10" t="str">
        <x:f>IF(J16&gt;0,"OUI","NON")</x:f>
        <x:v>NON</x:v>
      </x:c>
      <x:c r="L16" s="10" t="n">
        <x:f>COUNTIFS('Navires détaillés'!$A$2:$A$229,C16,'Navires détaillés'!$L$2:$L$229,"A1")+COUNTIFS('Navires détaillés'!$A$2:$A$229,C16,'Navires détaillés'!$L$2:$L$229,"A2")</x:f>
        <x:v>0</x:v>
      </x:c>
      <x:c r="M16" s="39" t="str"/>
    </x:row>
    <x:row r="17">
      <x:c r="A17" s="10" t="n">
        <x:v>16</x:v>
      </x:c>
      <x:c r="B17" s="10" t="str">
        <x:v>EU-A</x:v>
      </x:c>
      <x:c r="C17" s="10" t="str">
        <x:v>Unifeeder (DP World)</x:v>
      </x:c>
      <x:c r="D17" s="10" t="str">
        <x:v>Danemark / Aarhus</x:v>
      </x:c>
      <x:c r="E17" s="10" t="str">
        <x:v>Feeder / short-sea</x:v>
      </x:c>
      <x:c r="F17" s="10" t="str">
        <x:v>Europe; Méditerranée; Moyen-Orient; Inde; Asie</x:v>
      </x:c>
      <x:c r="G17" s="10" t="str">
        <x:v>UFS; Feedertech; Shreyas; Transworld Feeders</x:v>
      </x:c>
      <x:c r="H17" s="10" t="str">
        <x:v>unifeeder.com</x:v>
      </x:c>
      <x:c r="I17" s="10" t="str">
        <x:v>Feeder et short-sea européen</x:v>
      </x:c>
      <x:c r="J17" s="10" t="n">
        <x:f>COUNTIF('Navires détaillés'!$A$2:$A$229,C17)</x:f>
        <x:v>0</x:v>
      </x:c>
      <x:c r="K17" s="10" t="str">
        <x:f>IF(J17&gt;0,"OUI","NON")</x:f>
        <x:v>NON</x:v>
      </x:c>
      <x:c r="L17" s="10" t="n">
        <x:f>COUNTIFS('Navires détaillés'!$A$2:$A$229,C17,'Navires détaillés'!$L$2:$L$229,"A1")+COUNTIFS('Navires détaillés'!$A$2:$A$229,C17,'Navires détaillés'!$L$2:$L$229,"A2")</x:f>
        <x:v>0</x:v>
      </x:c>
      <x:c r="M17" s="39" t="str"/>
    </x:row>
    <x:row r="18">
      <x:c r="A18" s="10" t="n">
        <x:v>17</x:v>
      </x:c>
      <x:c r="B18" s="10" t="str">
        <x:v>EU-B</x:v>
      </x:c>
      <x:c r="C18" s="10" t="str">
        <x:v>IRISL Group</x:v>
      </x:c>
      <x:c r="D18" s="10" t="str">
        <x:v>Iran / Téhéran</x:v>
      </x:c>
      <x:c r="E18" s="10" t="str">
        <x:v>Régional / deep-sea</x:v>
      </x:c>
      <x:c r="F18" s="10" t="str">
        <x:v>Moyen-Orient; Asie; Europe; Caspienne</x:v>
      </x:c>
      <x:c r="G18" s="10" t="str">
        <x:v>HDS Lines; Valfajre Eight; Khazar Shipping</x:v>
      </x:c>
      <x:c r="H18" s="10" t="str">
        <x:v>irisl.net</x:v>
      </x:c>
      <x:c r="I18" s="10" t="str">
        <x:v>Présence IRISL Europe à Hambourg; calls 2026 à confirmer</x:v>
      </x:c>
      <x:c r="J18" s="10" t="n">
        <x:f>COUNTIF('Navires détaillés'!$A$2:$A$229,C18)</x:f>
        <x:v>0</x:v>
      </x:c>
      <x:c r="K18" s="10" t="str">
        <x:f>IF(J18&gt;0,"OUI","NON")</x:f>
        <x:v>NON</x:v>
      </x:c>
      <x:c r="L18" s="10" t="n">
        <x:f>COUNTIFS('Navires détaillés'!$A$2:$A$229,C18,'Navires détaillés'!$L$2:$L$229,"A1")+COUNTIFS('Navires détaillés'!$A$2:$A$229,C18,'Navires détaillés'!$L$2:$L$229,"A2")</x:f>
        <x:v>0</x:v>
      </x:c>
      <x:c r="M18" s="39" t="str"/>
    </x:row>
    <x:row r="19">
      <x:c r="A19" s="10" t="n">
        <x:v>18</x:v>
      </x:c>
      <x:c r="B19" s="10" t="str">
        <x:v>NE</x:v>
      </x:c>
      <x:c r="C19" s="10" t="str">
        <x:v>Global Feeder Shipping (AD Ports)</x:v>
      </x:c>
      <x:c r="D19" s="10" t="str">
        <x:v>Émirats arabes unis / Dubaï</x:v>
      </x:c>
      <x:c r="E19" s="10" t="str">
        <x:v>Feeder / régional</x:v>
      </x:c>
      <x:c r="F19" s="10" t="str">
        <x:v>Golfe; Inde; Mer Rouge; Afrique; Asie</x:v>
      </x:c>
      <x:c r="G19" s="10" t="str">
        <x:v>SAFEEN Feeders; Transmar</x:v>
      </x:c>
      <x:c r="H19" s="10" t="str">
        <x:v>globalfeeders.com</x:v>
      </x:c>
      <x:c r="I19" s="10" t="str">
        <x:v>Golfe; Inde; Mer Rouge; Afrique; Asie</x:v>
      </x:c>
      <x:c r="J19" s="10" t="n">
        <x:f>COUNTIF('Navires détaillés'!$A$2:$A$229,C19)</x:f>
        <x:v>0</x:v>
      </x:c>
      <x:c r="K19" s="10" t="str">
        <x:f>IF(J19&gt;0,"OUI","NON")</x:f>
        <x:v>NON</x:v>
      </x:c>
      <x:c r="L19" s="10" t="n">
        <x:f>COUNTIFS('Navires détaillés'!$A$2:$A$229,C19,'Navires détaillés'!$L$2:$L$229,"A1")+COUNTIFS('Navires détaillés'!$A$2:$A$229,C19,'Navires détaillés'!$L$2:$L$229,"A2")</x:f>
        <x:v>0</x:v>
      </x:c>
      <x:c r="M19" s="39" t="str"/>
    </x:row>
    <x:row r="20">
      <x:c r="A20" s="10" t="n">
        <x:v>19</x:v>
      </x:c>
      <x:c r="B20" s="10" t="str">
        <x:v>NE</x:v>
      </x:c>
      <x:c r="C20" s="10" t="str">
        <x:v>Sinokor Merchant Marine</x:v>
      </x:c>
      <x:c r="D20" s="10" t="str">
        <x:v>Corée du Sud / Séoul</x:v>
      </x:c>
      <x:c r="E20" s="10" t="str">
        <x:v>Régional</x:v>
      </x:c>
      <x:c r="F20" s="10" t="str">
        <x:v>Intra-Asie</x:v>
      </x:c>
      <x:c r="G20" s="10" t="str">
        <x:v>Heung-A Line</x:v>
      </x:c>
      <x:c r="H20" s="10" t="str">
        <x:v>sinokor.co.kr</x:v>
      </x:c>
      <x:c r="I20" s="10" t="str">
        <x:v>Intra-Asie</x:v>
      </x:c>
      <x:c r="J20" s="10" t="n">
        <x:f>COUNTIF('Navires détaillés'!$A$2:$A$229,C20)</x:f>
        <x:v>0</x:v>
      </x:c>
      <x:c r="K20" s="10" t="str">
        <x:f>IF(J20&gt;0,"OUI","NON")</x:f>
        <x:v>NON</x:v>
      </x:c>
      <x:c r="L20" s="10" t="n">
        <x:f>COUNTIFS('Navires détaillés'!$A$2:$A$229,C20,'Navires détaillés'!$L$2:$L$229,"A1")+COUNTIFS('Navires détaillés'!$A$2:$A$229,C20,'Navires détaillés'!$L$2:$L$229,"A2")</x:f>
        <x:v>0</x:v>
      </x:c>
      <x:c r="M20" s="39" t="str"/>
    </x:row>
    <x:row r="21">
      <x:c r="A21" s="10" t="n">
        <x:v>20</x:v>
      </x:c>
      <x:c r="B21" s="10" t="str">
        <x:v>EU-A</x:v>
      </x:c>
      <x:c r="C21" s="10" t="str">
        <x:v>Emirates Shipping Line</x:v>
      </x:c>
      <x:c r="D21" s="10" t="str">
        <x:v>Émirats arabes unis / Dubaï</x:v>
      </x:c>
      <x:c r="E21" s="10" t="str">
        <x:v>Régional / deep-sea</x:v>
      </x:c>
      <x:c r="F21" s="10" t="str">
        <x:v>Moyen-Orient; Inde; Asie; Afrique</x:v>
      </x:c>
      <x:c r="G21" s="10" t="str">
        <x:v>-</x:v>
      </x:c>
      <x:c r="H21" s="10" t="str">
        <x:v>emiratesline.com</x:v>
      </x:c>
      <x:c r="I21" s="10" t="str">
        <x:v>RTX: Ambarli/Istanbul + Türkiye</x:v>
      </x:c>
      <x:c r="J21" s="10" t="n">
        <x:f>COUNTIF('Navires détaillés'!$A$2:$A$229,C21)</x:f>
        <x:v>0</x:v>
      </x:c>
      <x:c r="K21" s="10" t="str">
        <x:f>IF(J21&gt;0,"OUI","NON")</x:f>
        <x:v>NON</x:v>
      </x:c>
      <x:c r="L21" s="10" t="n">
        <x:f>COUNTIFS('Navires détaillés'!$A$2:$A$229,C21,'Navires détaillés'!$L$2:$L$229,"A1")+COUNTIFS('Navires détaillés'!$A$2:$A$229,C21,'Navires détaillés'!$L$2:$L$229,"A2")</x:f>
        <x:v>0</x:v>
      </x:c>
      <x:c r="M21" s="39" t="str"/>
    </x:row>
    <x:row r="22">
      <x:c r="A22" s="10" t="n">
        <x:v>21</x:v>
      </x:c>
      <x:c r="B22" s="10" t="str">
        <x:v>NE</x:v>
      </x:c>
      <x:c r="C22" s="10" t="str">
        <x:v>TS Lines</x:v>
      </x:c>
      <x:c r="D22" s="10" t="str">
        <x:v>Taïwan / Taipei</x:v>
      </x:c>
      <x:c r="E22" s="10" t="str">
        <x:v>Régional / niche deep-sea</x:v>
      </x:c>
      <x:c r="F22" s="10" t="str">
        <x:v>Intra-Asie; Transpacifique; Moyen-Orient</x:v>
      </x:c>
      <x:c r="G22" s="10" t="str">
        <x:v>-</x:v>
      </x:c>
      <x:c r="H22" s="10" t="str">
        <x:v>tslines.com</x:v>
      </x:c>
      <x:c r="I22" s="10" t="str">
        <x:v>Intra-Asie; Transpacifique; Moyen-Orient</x:v>
      </x:c>
      <x:c r="J22" s="10" t="n">
        <x:f>COUNTIF('Navires détaillés'!$A$2:$A$229,C22)</x:f>
        <x:v>0</x:v>
      </x:c>
      <x:c r="K22" s="10" t="str">
        <x:f>IF(J22&gt;0,"OUI","NON")</x:f>
        <x:v>NON</x:v>
      </x:c>
      <x:c r="L22" s="10" t="n">
        <x:f>COUNTIFS('Navires détaillés'!$A$2:$A$229,C22,'Navires détaillés'!$L$2:$L$229,"A1")+COUNTIFS('Navires détaillés'!$A$2:$A$229,C22,'Navires détaillés'!$L$2:$L$229,"A2")</x:f>
        <x:v>0</x:v>
      </x:c>
      <x:c r="M22" s="39" t="str"/>
    </x:row>
    <x:row r="23">
      <x:c r="A23" s="10" t="n">
        <x:v>22</x:v>
      </x:c>
      <x:c r="B23" s="10" t="str">
        <x:v>NE</x:v>
      </x:c>
      <x:c r="C23" s="10" t="str">
        <x:v>RCL (Regional Container Lines)</x:v>
      </x:c>
      <x:c r="D23" s="10" t="str">
        <x:v>Thaïlande / Bangkok</x:v>
      </x:c>
      <x:c r="E23" s="10" t="str">
        <x:v>Régional</x:v>
      </x:c>
      <x:c r="F23" s="10" t="str">
        <x:v>Asie du Sud-Est; Chine; Inde; Moyen-Orient</x:v>
      </x:c>
      <x:c r="G23" s="10" t="str">
        <x:v>-</x:v>
      </x:c>
      <x:c r="H23" s="10" t="str">
        <x:v>rclgroup.com</x:v>
      </x:c>
      <x:c r="I23" s="10" t="str">
        <x:v>Asie du Sud-Est; Chine; Inde; Moyen-Orient</x:v>
      </x:c>
      <x:c r="J23" s="10" t="n">
        <x:f>COUNTIF('Navires détaillés'!$A$2:$A$229,C23)</x:f>
        <x:v>0</x:v>
      </x:c>
      <x:c r="K23" s="10" t="str">
        <x:f>IF(J23&gt;0,"OUI","NON")</x:f>
        <x:v>NON</x:v>
      </x:c>
      <x:c r="L23" s="10" t="n">
        <x:f>COUNTIFS('Navires détaillés'!$A$2:$A$229,C23,'Navires détaillés'!$L$2:$L$229,"A1")+COUNTIFS('Navires détaillés'!$A$2:$A$229,C23,'Navires détaillés'!$L$2:$L$229,"A2")</x:f>
        <x:v>0</x:v>
      </x:c>
      <x:c r="M23" s="39" t="str"/>
    </x:row>
    <x:row r="24">
      <x:c r="A24" s="10" t="n">
        <x:v>23</x:v>
      </x:c>
      <x:c r="B24" s="10" t="str">
        <x:v>NE</x:v>
      </x:c>
      <x:c r="C24" s="10" t="str">
        <x:v>Ningbo Ocean Shipping</x:v>
      </x:c>
      <x:c r="D24" s="10" t="str">
        <x:v>Chine / Ningbo</x:v>
      </x:c>
      <x:c r="E24" s="10" t="str">
        <x:v>Régional</x:v>
      </x:c>
      <x:c r="F24" s="10" t="str">
        <x:v>Chine; Japon; Corée; Asie du Sud-Est</x:v>
      </x:c>
      <x:c r="G24" s="10" t="str">
        <x:v>-</x:v>
      </x:c>
      <x:c r="H24" s="10" t="str">
        <x:v>nbosco.com</x:v>
      </x:c>
      <x:c r="I24" s="10" t="str">
        <x:v>Chine; Japon; Corée; Asie du Sud-Est</x:v>
      </x:c>
      <x:c r="J24" s="10" t="n">
        <x:f>COUNTIF('Navires détaillés'!$A$2:$A$229,C24)</x:f>
        <x:v>0</x:v>
      </x:c>
      <x:c r="K24" s="10" t="str">
        <x:f>IF(J24&gt;0,"OUI","NON")</x:f>
        <x:v>NON</x:v>
      </x:c>
      <x:c r="L24" s="10" t="n">
        <x:f>COUNTIFS('Navires détaillés'!$A$2:$A$229,C24,'Navires détaillés'!$L$2:$L$229,"A1")+COUNTIFS('Navires détaillés'!$A$2:$A$229,C24,'Navires détaillés'!$L$2:$L$229,"A2")</x:f>
        <x:v>0</x:v>
      </x:c>
      <x:c r="M24" s="39" t="str"/>
    </x:row>
    <x:row r="25">
      <x:c r="A25" s="10" t="n">
        <x:v>24</x:v>
      </x:c>
      <x:c r="B25" s="10" t="str">
        <x:v>NE</x:v>
      </x:c>
      <x:c r="C25" s="10" t="str">
        <x:v>Interasia Lines</x:v>
      </x:c>
      <x:c r="D25" s="10" t="str">
        <x:v>Japon / Tokyo</x:v>
      </x:c>
      <x:c r="E25" s="10" t="str">
        <x:v>Régional</x:v>
      </x:c>
      <x:c r="F25" s="10" t="str">
        <x:v>Japon; Chine; Corée; Asie du Sud-Est</x:v>
      </x:c>
      <x:c r="G25" s="10" t="str">
        <x:v>-</x:v>
      </x:c>
      <x:c r="H25" s="10" t="str">
        <x:v>interasia.cc</x:v>
      </x:c>
      <x:c r="I25" s="10" t="str">
        <x:v>Japon; Chine; Corée; Asie du Sud-Est</x:v>
      </x:c>
      <x:c r="J25" s="10" t="n">
        <x:f>COUNTIF('Navires détaillés'!$A$2:$A$229,C25)</x:f>
        <x:v>0</x:v>
      </x:c>
      <x:c r="K25" s="10" t="str">
        <x:f>IF(J25&gt;0,"OUI","NON")</x:f>
        <x:v>NON</x:v>
      </x:c>
      <x:c r="L25" s="10" t="n">
        <x:f>COUNTIFS('Navires détaillés'!$A$2:$A$229,C25,'Navires détaillés'!$L$2:$L$229,"A1")+COUNTIFS('Navires détaillés'!$A$2:$A$229,C25,'Navires détaillés'!$L$2:$L$229,"A2")</x:f>
        <x:v>0</x:v>
      </x:c>
      <x:c r="M25" s="39" t="str"/>
    </x:row>
    <x:row r="26">
      <x:c r="A26" s="10" t="n">
        <x:v>25</x:v>
      </x:c>
      <x:c r="B26" s="10" t="str">
        <x:v>EU-A</x:v>
      </x:c>
      <x:c r="C26" s="10" t="str">
        <x:v>China United Lines (CULines)</x:v>
      </x:c>
      <x:c r="D26" s="10" t="str">
        <x:v>Chine / Shanghai</x:v>
      </x:c>
      <x:c r="E26" s="10" t="str">
        <x:v>Régional / niche</x:v>
      </x:c>
      <x:c r="F26" s="10" t="str">
        <x:v>Chine; Intra-Asie; services long-courriers sélectifs</x:v>
      </x:c>
      <x:c r="G26" s="10" t="str">
        <x:v>-</x:v>
      </x:c>
      <x:c r="H26" s="10" t="str">
        <x:v>culines.com</x:v>
      </x:c>
      <x:c r="I26" s="10" t="str">
        <x:v>Réseau Méditerranée / mer Noire renforcé en 2026</x:v>
      </x:c>
      <x:c r="J26" s="10" t="n">
        <x:f>COUNTIF('Navires détaillés'!$A$2:$A$229,C26)</x:f>
        <x:v>0</x:v>
      </x:c>
      <x:c r="K26" s="10" t="str">
        <x:f>IF(J26&gt;0,"OUI","NON")</x:f>
        <x:v>NON</x:v>
      </x:c>
      <x:c r="L26" s="10" t="n">
        <x:f>COUNTIFS('Navires détaillés'!$A$2:$A$229,C26,'Navires détaillés'!$L$2:$L$229,"A1")+COUNTIFS('Navires détaillés'!$A$2:$A$229,C26,'Navires détaillés'!$L$2:$L$229,"A2")</x:f>
        <x:v>0</x:v>
      </x:c>
      <x:c r="M26" s="39" t="str"/>
    </x:row>
    <x:row r="27">
      <x:c r="A27" s="10" t="n">
        <x:v>26</x:v>
      </x:c>
      <x:c r="B27" s="10" t="str">
        <x:v>NE</x:v>
      </x:c>
      <x:c r="C27" s="10" t="str">
        <x:v>Tangshan Port Hede Shipping</x:v>
      </x:c>
      <x:c r="D27" s="10" t="str">
        <x:v>Chine / Tangshan</x:v>
      </x:c>
      <x:c r="E27" s="10" t="str">
        <x:v>Régional</x:v>
      </x:c>
      <x:c r="F27" s="10" t="str">
        <x:v>Chine; Asie du Nord-Est; Russie Extrême-Orient</x:v>
      </x:c>
      <x:c r="G27" s="10" t="str">
        <x:v>-</x:v>
      </x:c>
      <x:c r="H27" s="10" t="str">
        <x:v>shhede.com</x:v>
      </x:c>
      <x:c r="I27" s="10" t="str">
        <x:v>Chine; Asie du Nord-Est; Russie Extrême-Orient</x:v>
      </x:c>
      <x:c r="J27" s="10" t="n">
        <x:f>COUNTIF('Navires détaillés'!$A$2:$A$229,C27)</x:f>
        <x:v>0</x:v>
      </x:c>
      <x:c r="K27" s="10" t="str">
        <x:f>IF(J27&gt;0,"OUI","NON")</x:f>
        <x:v>NON</x:v>
      </x:c>
      <x:c r="L27" s="10" t="n">
        <x:f>COUNTIFS('Navires détaillés'!$A$2:$A$229,C27,'Navires détaillés'!$L$2:$L$229,"A1")+COUNTIFS('Navires détaillés'!$A$2:$A$229,C27,'Navires détaillés'!$L$2:$L$229,"A2")</x:f>
        <x:v>0</x:v>
      </x:c>
      <x:c r="M27" s="39" t="str"/>
    </x:row>
    <x:row r="28">
      <x:c r="A28" s="10" t="n">
        <x:v>27</x:v>
      </x:c>
      <x:c r="B28" s="10" t="str">
        <x:v>EU-A</x:v>
      </x:c>
      <x:c r="C28" s="10" t="str">
        <x:v>Grimaldi Group</x:v>
      </x:c>
      <x:c r="D28" s="10" t="str">
        <x:v>Italie / Naples</x:v>
      </x:c>
      <x:c r="E28" s="10" t="str">
        <x:v>Mixte conteneur / RoRo</x:v>
      </x:c>
      <x:c r="F28" s="10" t="str">
        <x:v>Europe; Méditerranée; Afrique; Amériques</x:v>
      </x:c>
      <x:c r="G28" s="10" t="str">
        <x:v>Atlantic Container Line; Finnlines</x:v>
      </x:c>
      <x:c r="H28" s="10" t="str">
        <x:v>grimaldi.napoli.it</x:v>
      </x:c>
      <x:c r="I28" s="10" t="str">
        <x:v>Europe / Méditerranée + ACL / Finnlines</x:v>
      </x:c>
      <x:c r="J28" s="10" t="n">
        <x:f>COUNTIF('Navires détaillés'!$A$2:$A$229,C28)</x:f>
        <x:v>0</x:v>
      </x:c>
      <x:c r="K28" s="10" t="str">
        <x:f>IF(J28&gt;0,"OUI","NON")</x:f>
        <x:v>NON</x:v>
      </x:c>
      <x:c r="L28" s="10" t="n">
        <x:f>COUNTIFS('Navires détaillés'!$A$2:$A$229,C28,'Navires détaillés'!$L$2:$L$229,"A1")+COUNTIFS('Navires détaillés'!$A$2:$A$229,C28,'Navires détaillés'!$L$2:$L$229,"A2")</x:f>
        <x:v>0</x:v>
      </x:c>
      <x:c r="M28" s="39" t="str"/>
    </x:row>
    <x:row r="29">
      <x:c r="A29" s="10" t="n">
        <x:v>28</x:v>
      </x:c>
      <x:c r="B29" s="10" t="str">
        <x:v>NE</x:v>
      </x:c>
      <x:c r="C29" s="10" t="str">
        <x:v>Antong Holdings (QASC / Ansheng)</x:v>
      </x:c>
      <x:c r="D29" s="10" t="str">
        <x:v>Chine / Quanzhou</x:v>
      </x:c>
      <x:c r="E29" s="10" t="str">
        <x:v>Domestique / régional</x:v>
      </x:c>
      <x:c r="F29" s="10" t="str">
        <x:v>Cabotage chinois; Chine régionale</x:v>
      </x:c>
      <x:c r="G29" s="10" t="str">
        <x:v>-</x:v>
      </x:c>
      <x:c r="H29" s="10" t="str">
        <x:v>qgsm.com</x:v>
      </x:c>
      <x:c r="I29" s="10" t="str">
        <x:v>Cabotage chinois; Chine régionale</x:v>
      </x:c>
      <x:c r="J29" s="10" t="n">
        <x:f>COUNTIF('Navires détaillés'!$A$2:$A$229,C29)</x:f>
        <x:v>0</x:v>
      </x:c>
      <x:c r="K29" s="10" t="str">
        <x:f>IF(J29&gt;0,"OUI","NON")</x:f>
        <x:v>NON</x:v>
      </x:c>
      <x:c r="L29" s="10" t="n">
        <x:f>COUNTIFS('Navires détaillés'!$A$2:$A$229,C29,'Navires détaillés'!$L$2:$L$229,"A1")+COUNTIFS('Navires détaillés'!$A$2:$A$229,C29,'Navires détaillés'!$L$2:$L$229,"A2")</x:f>
        <x:v>0</x:v>
      </x:c>
      <x:c r="M29" s="39" t="str"/>
    </x:row>
    <x:row r="30">
      <x:c r="A30" s="10" t="n">
        <x:v>29</x:v>
      </x:c>
      <x:c r="B30" s="10" t="str">
        <x:v>NE</x:v>
      </x:c>
      <x:c r="C30" s="10" t="str">
        <x:v>SM Line</x:v>
      </x:c>
      <x:c r="D30" s="10" t="str">
        <x:v>Corée du Sud / Séoul</x:v>
      </x:c>
      <x:c r="E30" s="10" t="str">
        <x:v>Régional / niche deep-sea</x:v>
      </x:c>
      <x:c r="F30" s="10" t="str">
        <x:v>Asie; Transpacifique</x:v>
      </x:c>
      <x:c r="G30" s="10" t="str">
        <x:v>-</x:v>
      </x:c>
      <x:c r="H30" s="10" t="str">
        <x:v>smlines.com</x:v>
      </x:c>
      <x:c r="I30" s="10" t="str">
        <x:v>Asie; Transpacifique</x:v>
      </x:c>
      <x:c r="J30" s="10" t="n">
        <x:f>COUNTIF('Navires détaillés'!$A$2:$A$229,C30)</x:f>
        <x:v>0</x:v>
      </x:c>
      <x:c r="K30" s="10" t="str">
        <x:f>IF(J30&gt;0,"OUI","NON")</x:f>
        <x:v>NON</x:v>
      </x:c>
      <x:c r="L30" s="10" t="n">
        <x:f>COUNTIFS('Navires détaillés'!$A$2:$A$229,C30,'Navires détaillés'!$L$2:$L$229,"A1")+COUNTIFS('Navires détaillés'!$A$2:$A$229,C30,'Navires détaillés'!$L$2:$L$229,"A2")</x:f>
        <x:v>0</x:v>
      </x:c>
      <x:c r="M30" s="39" t="str"/>
    </x:row>
    <x:row r="31">
      <x:c r="A31" s="10" t="n">
        <x:v>30</x:v>
      </x:c>
      <x:c r="B31" s="10" t="str">
        <x:v>NE</x:v>
      </x:c>
      <x:c r="C31" s="10" t="str">
        <x:v>Sinotrans</x:v>
      </x:c>
      <x:c r="D31" s="10" t="str">
        <x:v>Chine / Pékin</x:v>
      </x:c>
      <x:c r="E31" s="10" t="str">
        <x:v>Régional / logistique intégrée</x:v>
      </x:c>
      <x:c r="F31" s="10" t="str">
        <x:v>Chine; Intra-Asie</x:v>
      </x:c>
      <x:c r="G31" s="10" t="str">
        <x:v>-</x:v>
      </x:c>
      <x:c r="H31" s="10" t="str">
        <x:v>sinotrans.com</x:v>
      </x:c>
      <x:c r="I31" s="10" t="str">
        <x:v>Chine; Intra-Asie</x:v>
      </x:c>
      <x:c r="J31" s="10" t="n">
        <x:f>COUNTIF('Navires détaillés'!$A$2:$A$229,C31)</x:f>
        <x:v>0</x:v>
      </x:c>
      <x:c r="K31" s="10" t="str">
        <x:f>IF(J31&gt;0,"OUI","NON")</x:f>
        <x:v>NON</x:v>
      </x:c>
      <x:c r="L31" s="10" t="n">
        <x:f>COUNTIFS('Navires détaillés'!$A$2:$A$229,C31,'Navires détaillés'!$L$2:$L$229,"A1")+COUNTIFS('Navires détaillés'!$A$2:$A$229,C31,'Navires détaillés'!$L$2:$L$229,"A2")</x:f>
        <x:v>0</x:v>
      </x:c>
      <x:c r="M31" s="39" t="str"/>
    </x:row>
    <x:row r="32">
      <x:c r="A32" s="10" t="n">
        <x:v>31</x:v>
      </x:c>
      <x:c r="B32" s="10" t="str">
        <x:v>NE</x:v>
      </x:c>
      <x:c r="C32" s="10" t="str">
        <x:v>Matson</x:v>
      </x:c>
      <x:c r="D32" s="10" t="str">
        <x:v>États-Unis / Honolulu</x:v>
      </x:c>
      <x:c r="E32" s="10" t="str">
        <x:v>Niche deep-sea</x:v>
      </x:c>
      <x:c r="F32" s="10" t="str">
        <x:v>Pacifique; Hawaii; Alaska; US-Océanie/Asie</x:v>
      </x:c>
      <x:c r="G32" s="10" t="str">
        <x:v>-</x:v>
      </x:c>
      <x:c r="H32" s="10" t="str">
        <x:v>matson.com</x:v>
      </x:c>
      <x:c r="I32" s="10" t="str">
        <x:v>Pacifique; Hawaii; Alaska; US-Océanie/Asie</x:v>
      </x:c>
      <x:c r="J32" s="10" t="n">
        <x:f>COUNTIF('Navires détaillés'!$A$2:$A$229,C32)</x:f>
        <x:v>0</x:v>
      </x:c>
      <x:c r="K32" s="10" t="str">
        <x:f>IF(J32&gt;0,"OUI","NON")</x:f>
        <x:v>NON</x:v>
      </x:c>
      <x:c r="L32" s="10" t="n">
        <x:f>COUNTIFS('Navires détaillés'!$A$2:$A$229,C32,'Navires détaillés'!$L$2:$L$229,"A1")+COUNTIFS('Navires détaillés'!$A$2:$A$229,C32,'Navires détaillés'!$L$2:$L$229,"A2")</x:f>
        <x:v>0</x:v>
      </x:c>
      <x:c r="M32" s="39" t="str"/>
    </x:row>
    <x:row r="33">
      <x:c r="A33" s="10" t="n">
        <x:v>32</x:v>
      </x:c>
      <x:c r="B33" s="10" t="str">
        <x:v>NE</x:v>
      </x:c>
      <x:c r="C33" s="10" t="str">
        <x:v>Shanghai Jin Jiang Shipping</x:v>
      </x:c>
      <x:c r="D33" s="10" t="str">
        <x:v>Chine / Shanghai</x:v>
      </x:c>
      <x:c r="E33" s="10" t="str">
        <x:v>Régional</x:v>
      </x:c>
      <x:c r="F33" s="10" t="str">
        <x:v>Chine; Japon; Corée; Asie du Sud-Est</x:v>
      </x:c>
      <x:c r="G33" s="10" t="str">
        <x:v>HASCO</x:v>
      </x:c>
      <x:c r="H33" s="10" t="str">
        <x:v>jjshipping.com</x:v>
      </x:c>
      <x:c r="I33" s="10" t="str">
        <x:v>Chine; Japon; Corée; Asie du Sud-Est</x:v>
      </x:c>
      <x:c r="J33" s="10" t="n">
        <x:f>COUNTIF('Navires détaillés'!$A$2:$A$229,C33)</x:f>
        <x:v>0</x:v>
      </x:c>
      <x:c r="K33" s="10" t="str">
        <x:f>IF(J33&gt;0,"OUI","NON")</x:f>
        <x:v>NON</x:v>
      </x:c>
      <x:c r="L33" s="10" t="n">
        <x:f>COUNTIFS('Navires détaillés'!$A$2:$A$229,C33,'Navires détaillés'!$L$2:$L$229,"A1")+COUNTIFS('Navires détaillés'!$A$2:$A$229,C33,'Navires détaillés'!$L$2:$L$229,"A2")</x:f>
        <x:v>0</x:v>
      </x:c>
      <x:c r="M33" s="39" t="str"/>
    </x:row>
    <x:row r="34">
      <x:c r="A34" s="10" t="n">
        <x:v>33</x:v>
      </x:c>
      <x:c r="B34" s="10" t="str">
        <x:v>NE</x:v>
      </x:c>
      <x:c r="C34" s="10" t="str">
        <x:v>Swire Shipping</x:v>
      </x:c>
      <x:c r="D34" s="10" t="str">
        <x:v>Singapour / Singapour</x:v>
      </x:c>
      <x:c r="E34" s="10" t="str">
        <x:v>Régional / niche</x:v>
      </x:c>
      <x:c r="F34" s="10" t="str">
        <x:v>Asie; Pacifique; Océanie</x:v>
      </x:c>
      <x:c r="G34" s="10" t="str">
        <x:v>Westwood Shipping; Pacifica Shipping</x:v>
      </x:c>
      <x:c r="H34" s="10" t="str">
        <x:v>swireshipping.com</x:v>
      </x:c>
      <x:c r="I34" s="10" t="str">
        <x:v>Asie; Pacifique; Océanie</x:v>
      </x:c>
      <x:c r="J34" s="10" t="n">
        <x:f>COUNTIF('Navires détaillés'!$A$2:$A$229,C34)</x:f>
        <x:v>0</x:v>
      </x:c>
      <x:c r="K34" s="10" t="str">
        <x:f>IF(J34&gt;0,"OUI","NON")</x:f>
        <x:v>NON</x:v>
      </x:c>
      <x:c r="L34" s="10" t="n">
        <x:f>COUNTIFS('Navires détaillés'!$A$2:$A$229,C34,'Navires détaillés'!$L$2:$L$229,"A1")+COUNTIFS('Navires détaillés'!$A$2:$A$229,C34,'Navires détaillés'!$L$2:$L$229,"A2")</x:f>
        <x:v>0</x:v>
      </x:c>
      <x:c r="M34" s="39" t="str"/>
    </x:row>
    <x:row r="35">
      <x:c r="A35" s="10" t="n">
        <x:v>34</x:v>
      </x:c>
      <x:c r="B35" s="10" t="str">
        <x:v>NE</x:v>
      </x:c>
      <x:c r="C35" s="10" t="str">
        <x:v>Zhonggu Logistics</x:v>
      </x:c>
      <x:c r="D35" s="10" t="str">
        <x:v>Chine / Shanghai</x:v>
      </x:c>
      <x:c r="E35" s="10" t="str">
        <x:v>Domestique / régional</x:v>
      </x:c>
      <x:c r="F35" s="10" t="str">
        <x:v>Cabotage chinois; Chine régionale</x:v>
      </x:c>
      <x:c r="G35" s="10" t="str">
        <x:v>-</x:v>
      </x:c>
      <x:c r="H35" s="10" t="str">
        <x:v>zhonggushipping.com</x:v>
      </x:c>
      <x:c r="I35" s="10" t="str">
        <x:v>Cabotage chinois; Chine régionale</x:v>
      </x:c>
      <x:c r="J35" s="10" t="n">
        <x:f>COUNTIF('Navires détaillés'!$A$2:$A$229,C35)</x:f>
        <x:v>0</x:v>
      </x:c>
      <x:c r="K35" s="10" t="str">
        <x:f>IF(J35&gt;0,"OUI","NON")</x:f>
        <x:v>NON</x:v>
      </x:c>
      <x:c r="L35" s="10" t="n">
        <x:f>COUNTIFS('Navires détaillés'!$A$2:$A$229,C35,'Navires détaillés'!$L$2:$L$229,"A1")+COUNTIFS('Navires détaillés'!$A$2:$A$229,C35,'Navires détaillés'!$L$2:$L$229,"A2")</x:f>
        <x:v>0</x:v>
      </x:c>
      <x:c r="M35" s="39" t="str"/>
    </x:row>
    <x:row r="36">
      <x:c r="A36" s="10" t="n">
        <x:v>35</x:v>
      </x:c>
      <x:c r="B36" s="10" t="str">
        <x:v>EU-A</x:v>
      </x:c>
      <x:c r="C36" s="10" t="str">
        <x:v>Akkon Lines</x:v>
      </x:c>
      <x:c r="D36" s="10" t="str">
        <x:v>Türkiye / Istanbul</x:v>
      </x:c>
      <x:c r="E36" s="10" t="str">
        <x:v>Régional</x:v>
      </x:c>
      <x:c r="F36" s="10" t="str">
        <x:v>Méditerranée; Mer Noire; Türkiye</x:v>
      </x:c>
      <x:c r="G36" s="10" t="str">
        <x:v>-</x:v>
      </x:c>
      <x:c r="H36" s="10" t="str">
        <x:v>akkonlines.com</x:v>
      </x:c>
      <x:c r="I36" s="10" t="str">
        <x:v>Méditerranée / mer Noire</x:v>
      </x:c>
      <x:c r="J36" s="10" t="n">
        <x:f>COUNTIF('Navires détaillés'!$A$2:$A$229,C36)</x:f>
        <x:v>0</x:v>
      </x:c>
      <x:c r="K36" s="10" t="str">
        <x:f>IF(J36&gt;0,"OUI","NON")</x:f>
        <x:v>NON</x:v>
      </x:c>
      <x:c r="L36" s="10" t="n">
        <x:f>COUNTIFS('Navires détaillés'!$A$2:$A$229,C36,'Navires détaillés'!$L$2:$L$229,"A1")+COUNTIFS('Navires détaillés'!$A$2:$A$229,C36,'Navires détaillés'!$L$2:$L$229,"A2")</x:f>
        <x:v>0</x:v>
      </x:c>
      <x:c r="M36" s="39" t="str"/>
    </x:row>
    <x:row r="37">
      <x:c r="A37" s="10" t="n">
        <x:v>36</x:v>
      </x:c>
      <x:c r="B37" s="10" t="str">
        <x:v>EU-A</x:v>
      </x:c>
      <x:c r="C37" s="10" t="str">
        <x:v>FESCO</x:v>
      </x:c>
      <x:c r="D37" s="10" t="str">
        <x:v>Russie / Moscou</x:v>
      </x:c>
      <x:c r="E37" s="10" t="str">
        <x:v>Régional / niche</x:v>
      </x:c>
      <x:c r="F37" s="10" t="str">
        <x:v>Extrême-Orient russe; Asie; Arctique; Russie</x:v>
      </x:c>
      <x:c r="G37" s="10" t="str">
        <x:v>FESCO ESF</x:v>
      </x:c>
      <x:c r="H37" s="10" t="str">
        <x:v>fesco.com</x:v>
      </x:c>
      <x:c r="I37" s="10" t="str">
        <x:v>FTBS: St-Pétersbourg / Ambarli / Gebze</x:v>
      </x:c>
      <x:c r="J37" s="10" t="n">
        <x:f>COUNTIF('Navires détaillés'!$A$2:$A$229,C37)</x:f>
        <x:v>0</x:v>
      </x:c>
      <x:c r="K37" s="10" t="str">
        <x:f>IF(J37&gt;0,"OUI","NON")</x:f>
        <x:v>NON</x:v>
      </x:c>
      <x:c r="L37" s="10" t="n">
        <x:f>COUNTIFS('Navires détaillés'!$A$2:$A$229,C37,'Navires détaillés'!$L$2:$L$229,"A1")+COUNTIFS('Navires détaillés'!$A$2:$A$229,C37,'Navires détaillés'!$L$2:$L$229,"A2")</x:f>
        <x:v>0</x:v>
      </x:c>
      <x:c r="M37" s="39" t="str"/>
    </x:row>
    <x:row r="38">
      <x:c r="A38" s="10" t="n">
        <x:v>37</x:v>
      </x:c>
      <x:c r="B38" s="10" t="str">
        <x:v>EU-A</x:v>
      </x:c>
      <x:c r="C38" s="10" t="str">
        <x:v>Arkas Line / EMES</x:v>
      </x:c>
      <x:c r="D38" s="10" t="str">
        <x:v>Türkiye / Izmir</x:v>
      </x:c>
      <x:c r="E38" s="10" t="str">
        <x:v>Régional</x:v>
      </x:c>
      <x:c r="F38" s="10" t="str">
        <x:v>Méditerranée; Mer Noire; Europe du Sud</x:v>
      </x:c>
      <x:c r="G38" s="10" t="str">
        <x:v>EMES</x:v>
      </x:c>
      <x:c r="H38" s="10" t="str">
        <x:v>arkas.com.tr</x:v>
      </x:c>
      <x:c r="I38" s="10" t="str">
        <x:v>Méditerranée / mer Noire / Europe du Sud</x:v>
      </x:c>
      <x:c r="J38" s="10" t="n">
        <x:f>COUNTIF('Navires détaillés'!$A$2:$A$229,C38)</x:f>
        <x:v>0</x:v>
      </x:c>
      <x:c r="K38" s="10" t="str">
        <x:f>IF(J38&gt;0,"OUI","NON")</x:f>
        <x:v>NON</x:v>
      </x:c>
      <x:c r="L38" s="10" t="n">
        <x:f>COUNTIFS('Navires détaillés'!$A$2:$A$229,C38,'Navires détaillés'!$L$2:$L$229,"A1")+COUNTIFS('Navires détaillés'!$A$2:$A$229,C38,'Navires détaillés'!$L$2:$L$229,"A2")</x:f>
        <x:v>0</x:v>
      </x:c>
      <x:c r="M38" s="39" t="str"/>
    </x:row>
    <x:row r="39">
      <x:c r="A39" s="10" t="n">
        <x:v>38</x:v>
      </x:c>
      <x:c r="B39" s="10" t="str">
        <x:v>NE</x:v>
      </x:c>
      <x:c r="C39" s="10" t="str">
        <x:v>Seaboard Marine</x:v>
      </x:c>
      <x:c r="D39" s="10" t="str">
        <x:v>États-Unis / Miami</x:v>
      </x:c>
      <x:c r="E39" s="10" t="str">
        <x:v>Régional</x:v>
      </x:c>
      <x:c r="F39" s="10" t="str">
        <x:v>Caraïbes; Amérique centrale; Amérique latine</x:v>
      </x:c>
      <x:c r="G39" s="10" t="str">
        <x:v>-</x:v>
      </x:c>
      <x:c r="H39" s="10" t="str">
        <x:v>seaboardmarine.com</x:v>
      </x:c>
      <x:c r="I39" s="10" t="str">
        <x:v>Caraïbes; Amérique centrale; Amérique latine</x:v>
      </x:c>
      <x:c r="J39" s="10" t="n">
        <x:f>COUNTIF('Navires détaillés'!$A$2:$A$229,C39)</x:f>
        <x:v>0</x:v>
      </x:c>
      <x:c r="K39" s="10" t="str">
        <x:f>IF(J39&gt;0,"OUI","NON")</x:f>
        <x:v>NON</x:v>
      </x:c>
      <x:c r="L39" s="10" t="n">
        <x:f>COUNTIFS('Navires détaillés'!$A$2:$A$229,C39,'Navires détaillés'!$L$2:$L$229,"A1")+COUNTIFS('Navires détaillés'!$A$2:$A$229,C39,'Navires détaillés'!$L$2:$L$229,"A2")</x:f>
        <x:v>0</x:v>
      </x:c>
      <x:c r="M39" s="39" t="str"/>
    </x:row>
    <x:row r="40">
      <x:c r="A40" s="10" t="n">
        <x:v>39</x:v>
      </x:c>
      <x:c r="B40" s="10" t="str">
        <x:v>NE</x:v>
      </x:c>
      <x:c r="C40" s="10" t="str">
        <x:v>Samudera Shipping Line</x:v>
      </x:c>
      <x:c r="D40" s="10" t="str">
        <x:v>Singapour / Singapour</x:v>
      </x:c>
      <x:c r="E40" s="10" t="str">
        <x:v>Régional</x:v>
      </x:c>
      <x:c r="F40" s="10" t="str">
        <x:v>Asie du Sud-Est; Inde; Moyen-Orient</x:v>
      </x:c>
      <x:c r="G40" s="10" t="str">
        <x:v>Foremost Maritime</x:v>
      </x:c>
      <x:c r="H40" s="10" t="str">
        <x:v>samudera.com</x:v>
      </x:c>
      <x:c r="I40" s="10" t="str">
        <x:v>Asie du Sud-Est; Inde; Moyen-Orient</x:v>
      </x:c>
      <x:c r="J40" s="10" t="n">
        <x:f>COUNTIF('Navires détaillés'!$A$2:$A$229,C40)</x:f>
        <x:v>0</x:v>
      </x:c>
      <x:c r="K40" s="10" t="str">
        <x:f>IF(J40&gt;0,"OUI","NON")</x:f>
        <x:v>NON</x:v>
      </x:c>
      <x:c r="L40" s="10" t="n">
        <x:f>COUNTIFS('Navires détaillés'!$A$2:$A$229,C40,'Navires détaillés'!$L$2:$L$229,"A1")+COUNTIFS('Navires détaillés'!$A$2:$A$229,C40,'Navires détaillés'!$L$2:$L$229,"A2")</x:f>
        <x:v>0</x:v>
      </x:c>
      <x:c r="M40" s="39" t="str"/>
    </x:row>
    <x:row r="41">
      <x:c r="A41" s="10" t="n">
        <x:v>40</x:v>
      </x:c>
      <x:c r="B41" s="10" t="str">
        <x:v>EU-A</x:v>
      </x:c>
      <x:c r="C41" s="10" t="str">
        <x:v>Tailwind Shipping Lines</x:v>
      </x:c>
      <x:c r="D41" s="10" t="str">
        <x:v>Allemagne / Hambourg</x:v>
      </x:c>
      <x:c r="E41" s="10" t="str">
        <x:v>Niche deep-sea</x:v>
      </x:c>
      <x:c r="F41" s="10" t="str">
        <x:v>Asie-Europe; services dédiés / commerciaux</x:v>
      </x:c>
      <x:c r="G41" s="10" t="str">
        <x:v>Groupe Schwarz / Lidl</x:v>
      </x:c>
      <x:c r="H41" s="10" t="str">
        <x:v>tailwind-shipping.com</x:v>
      </x:c>
      <x:c r="I41" s="10" t="str">
        <x:v>Asie-Europe</x:v>
      </x:c>
      <x:c r="J41" s="10" t="n">
        <x:f>COUNTIF('Navires détaillés'!$A$2:$A$229,C41)</x:f>
        <x:v>0</x:v>
      </x:c>
      <x:c r="K41" s="10" t="str">
        <x:f>IF(J41&gt;0,"OUI","NON")</x:f>
        <x:v>NON</x:v>
      </x:c>
      <x:c r="L41" s="10" t="n">
        <x:f>COUNTIFS('Navires détaillés'!$A$2:$A$229,C41,'Navires détaillés'!$L$2:$L$229,"A1")+COUNTIFS('Navires détaillés'!$A$2:$A$229,C41,'Navires détaillés'!$L$2:$L$229,"A2")</x:f>
        <x:v>0</x:v>
      </x:c>
      <x:c r="M41" s="39" t="str"/>
    </x:row>
    <x:row r="42">
      <x:c r="A42" s="10" t="n">
        <x:v>41</x:v>
      </x:c>
      <x:c r="B42" s="10" t="str">
        <x:v>NE</x:v>
      </x:c>
      <x:c r="C42" s="10" t="str">
        <x:v>Meratus Line</x:v>
      </x:c>
      <x:c r="D42" s="10" t="str">
        <x:v>Indonésie / Surabaya</x:v>
      </x:c>
      <x:c r="E42" s="10" t="str">
        <x:v>Régional</x:v>
      </x:c>
      <x:c r="F42" s="10" t="str">
        <x:v>Indonésie; Asie du Sud-Est</x:v>
      </x:c>
      <x:c r="G42" s="10" t="str">
        <x:v>-</x:v>
      </x:c>
      <x:c r="H42" s="10" t="str">
        <x:v>meratusline.com</x:v>
      </x:c>
      <x:c r="I42" s="10" t="str">
        <x:v>Indonésie; Asie du Sud-Est</x:v>
      </x:c>
      <x:c r="J42" s="10" t="n">
        <x:f>COUNTIF('Navires détaillés'!$A$2:$A$229,C42)</x:f>
        <x:v>0</x:v>
      </x:c>
      <x:c r="K42" s="10" t="str">
        <x:f>IF(J42&gt;0,"OUI","NON")</x:f>
        <x:v>NON</x:v>
      </x:c>
      <x:c r="L42" s="10" t="n">
        <x:f>COUNTIFS('Navires détaillés'!$A$2:$A$229,C42,'Navires détaillés'!$L$2:$L$229,"A1")+COUNTIFS('Navires détaillés'!$A$2:$A$229,C42,'Navires détaillés'!$L$2:$L$229,"A2")</x:f>
        <x:v>0</x:v>
      </x:c>
      <x:c r="M42" s="39" t="str"/>
    </x:row>
    <x:row r="43">
      <x:c r="A43" s="10" t="n">
        <x:v>42</x:v>
      </x:c>
      <x:c r="B43" s="10" t="str">
        <x:v>NE</x:v>
      </x:c>
      <x:c r="C43" s="10" t="str">
        <x:v>Namsung Shipping</x:v>
      </x:c>
      <x:c r="D43" s="10" t="str">
        <x:v>Corée du Sud / Séoul</x:v>
      </x:c>
      <x:c r="E43" s="10" t="str">
        <x:v>Régional</x:v>
      </x:c>
      <x:c r="F43" s="10" t="str">
        <x:v>Corée; Japon; Chine; Asie du Sud-Est</x:v>
      </x:c>
      <x:c r="G43" s="10" t="str">
        <x:v>-</x:v>
      </x:c>
      <x:c r="H43" s="10" t="str">
        <x:v>namsung.co.kr</x:v>
      </x:c>
      <x:c r="I43" s="10" t="str">
        <x:v>Corée; Japon; Chine; Asie du Sud-Est</x:v>
      </x:c>
      <x:c r="J43" s="10" t="n">
        <x:f>COUNTIF('Navires détaillés'!$A$2:$A$229,C43)</x:f>
        <x:v>0</x:v>
      </x:c>
      <x:c r="K43" s="10" t="str">
        <x:f>IF(J43&gt;0,"OUI","NON")</x:f>
        <x:v>NON</x:v>
      </x:c>
      <x:c r="L43" s="10" t="n">
        <x:f>COUNTIFS('Navires détaillés'!$A$2:$A$229,C43,'Navires détaillés'!$L$2:$L$229,"A1")+COUNTIFS('Navires détaillés'!$A$2:$A$229,C43,'Navires détaillés'!$L$2:$L$229,"A2")</x:f>
        <x:v>0</x:v>
      </x:c>
      <x:c r="M43" s="39" t="str"/>
    </x:row>
    <x:row r="44">
      <x:c r="A44" s="10" t="n">
        <x:v>43</x:v>
      </x:c>
      <x:c r="B44" s="10" t="str">
        <x:v>NE</x:v>
      </x:c>
      <x:c r="C44" s="10" t="str">
        <x:v>Tanto Intim Line</x:v>
      </x:c>
      <x:c r="D44" s="10" t="str">
        <x:v>Indonésie / Surabaya</x:v>
      </x:c>
      <x:c r="E44" s="10" t="str">
        <x:v>Domestique / régional</x:v>
      </x:c>
      <x:c r="F44" s="10" t="str">
        <x:v>Indonésie; Asie du Sud-Est</x:v>
      </x:c>
      <x:c r="G44" s="10" t="str">
        <x:v>-</x:v>
      </x:c>
      <x:c r="H44" s="10" t="str">
        <x:v>tantonet.com</x:v>
      </x:c>
      <x:c r="I44" s="10" t="str">
        <x:v>Indonésie; Asie du Sud-Est</x:v>
      </x:c>
      <x:c r="J44" s="10" t="n">
        <x:f>COUNTIF('Navires détaillés'!$A$2:$A$229,C44)</x:f>
        <x:v>0</x:v>
      </x:c>
      <x:c r="K44" s="10" t="str">
        <x:f>IF(J44&gt;0,"OUI","NON")</x:f>
        <x:v>NON</x:v>
      </x:c>
      <x:c r="L44" s="10" t="n">
        <x:f>COUNTIFS('Navires détaillés'!$A$2:$A$229,C44,'Navires détaillés'!$L$2:$L$229,"A1")+COUNTIFS('Navires détaillés'!$A$2:$A$229,C44,'Navires détaillés'!$L$2:$L$229,"A2")</x:f>
        <x:v>0</x:v>
      </x:c>
      <x:c r="M44" s="39" t="str"/>
    </x:row>
    <x:row r="45">
      <x:c r="A45" s="10" t="n">
        <x:v>44</x:v>
      </x:c>
      <x:c r="B45" s="10" t="str">
        <x:v>NE</x:v>
      </x:c>
      <x:c r="C45" s="10" t="str">
        <x:v>Salam Pacific Indonesia Lines (SPIL)</x:v>
      </x:c>
      <x:c r="D45" s="10" t="str">
        <x:v>Indonésie / Surabaya</x:v>
      </x:c>
      <x:c r="E45" s="10" t="str">
        <x:v>Domestique / régional</x:v>
      </x:c>
      <x:c r="F45" s="10" t="str">
        <x:v>Indonésie; Asie du Sud-Est</x:v>
      </x:c>
      <x:c r="G45" s="10" t="str">
        <x:v>-</x:v>
      </x:c>
      <x:c r="H45" s="10" t="str">
        <x:v>spil.co.id</x:v>
      </x:c>
      <x:c r="I45" s="10" t="str">
        <x:v>Indonésie; Asie du Sud-Est</x:v>
      </x:c>
      <x:c r="J45" s="10" t="n">
        <x:f>COUNTIF('Navires détaillés'!$A$2:$A$229,C45)</x:f>
        <x:v>0</x:v>
      </x:c>
      <x:c r="K45" s="10" t="str">
        <x:f>IF(J45&gt;0,"OUI","NON")</x:f>
        <x:v>NON</x:v>
      </x:c>
      <x:c r="L45" s="10" t="n">
        <x:f>COUNTIFS('Navires détaillés'!$A$2:$A$229,C45,'Navires détaillés'!$L$2:$L$229,"A1")+COUNTIFS('Navires détaillés'!$A$2:$A$229,C45,'Navires détaillés'!$L$2:$L$229,"A2")</x:f>
        <x:v>0</x:v>
      </x:c>
      <x:c r="M45" s="39" t="str"/>
    </x:row>
    <x:row r="46">
      <x:c r="A46" s="10" t="n">
        <x:v>45</x:v>
      </x:c>
      <x:c r="B46" s="10" t="str">
        <x:v>EU-A</x:v>
      </x:c>
      <x:c r="C46" s="10" t="str">
        <x:v>Great White Fleet (Chiquita)</x:v>
      </x:c>
      <x:c r="D46" s="10" t="str">
        <x:v>États-Unis / Floride</x:v>
      </x:c>
      <x:c r="E46" s="10" t="str">
        <x:v>Niche reefer / conteneur</x:v>
      </x:c>
      <x:c r="F46" s="10" t="str">
        <x:v>Amériques; Caraïbes; Europe selon services</x:v>
      </x:c>
      <x:c r="G46" s="10" t="str">
        <x:v>Chiquita</x:v>
      </x:c>
      <x:c r="H46" s="10" t="str">
        <x:v>greatwhitefleet.com</x:v>
      </x:c>
      <x:c r="I46" s="10" t="str">
        <x:v>Vlissingen / Sheerness - service hebdomadaire</x:v>
      </x:c>
      <x:c r="J46" s="10" t="n">
        <x:f>COUNTIF('Navires détaillés'!$A$2:$A$229,C46)</x:f>
        <x:v>0</x:v>
      </x:c>
      <x:c r="K46" s="10" t="str">
        <x:f>IF(J46&gt;0,"OUI","NON")</x:f>
        <x:v>NON</x:v>
      </x:c>
      <x:c r="L46" s="10" t="n">
        <x:f>COUNTIFS('Navires détaillés'!$A$2:$A$229,C46,'Navires détaillés'!$L$2:$L$229,"A1")+COUNTIFS('Navires détaillés'!$A$2:$A$229,C46,'Navires détaillés'!$L$2:$L$229,"A2")</x:f>
        <x:v>0</x:v>
      </x:c>
      <x:c r="M46" s="39" t="str"/>
    </x:row>
    <x:row r="47">
      <x:c r="A47" s="10" t="n">
        <x:v>46</x:v>
      </x:c>
      <x:c r="B47" s="10" t="str">
        <x:v>EU-A</x:v>
      </x:c>
      <x:c r="C47" s="10" t="str">
        <x:v>Ignazio Messina / Linea Messina</x:v>
      </x:c>
      <x:c r="D47" s="10" t="str">
        <x:v>Italie / Gênes</x:v>
      </x:c>
      <x:c r="E47" s="10" t="str">
        <x:v>Mixte conteneur / RoRo</x:v>
      </x:c>
      <x:c r="F47" s="10" t="str">
        <x:v>Méditerranée; Afrique; Moyen-Orient</x:v>
      </x:c>
      <x:c r="G47" s="10" t="str">
        <x:v>-</x:v>
      </x:c>
      <x:c r="H47" s="10" t="str">
        <x:v>messinaline.it</x:v>
      </x:c>
      <x:c r="I47" s="10" t="str">
        <x:v>Méditerranée / Europe</x:v>
      </x:c>
      <x:c r="J47" s="10" t="n">
        <x:f>COUNTIF('Navires détaillés'!$A$2:$A$229,C47)</x:f>
        <x:v>0</x:v>
      </x:c>
      <x:c r="K47" s="10" t="str">
        <x:f>IF(J47&gt;0,"OUI","NON")</x:f>
        <x:v>NON</x:v>
      </x:c>
      <x:c r="L47" s="10" t="n">
        <x:f>COUNTIFS('Navires détaillés'!$A$2:$A$229,C47,'Navires détaillés'!$L$2:$L$229,"A1")+COUNTIFS('Navires détaillés'!$A$2:$A$229,C47,'Navires détaillés'!$L$2:$L$229,"A2")</x:f>
        <x:v>0</x:v>
      </x:c>
      <x:c r="M47" s="39" t="str"/>
    </x:row>
    <x:row r="48">
      <x:c r="A48" s="10" t="n">
        <x:v>47</x:v>
      </x:c>
      <x:c r="B48" s="10" t="str">
        <x:v>EU-B</x:v>
      </x:c>
      <x:c r="C48" s="10" t="str">
        <x:v>Hainan Yangpu NewNew Shipping</x:v>
      </x:c>
      <x:c r="D48" s="10" t="str">
        <x:v>Chine / Yangpu</x:v>
      </x:c>
      <x:c r="E48" s="10" t="str">
        <x:v>Niche / régional</x:v>
      </x:c>
      <x:c r="F48" s="10" t="str">
        <x:v>Chine; Russie; corridors eurasiatiques</x:v>
      </x:c>
      <x:c r="G48" s="10" t="str">
        <x:v>-</x:v>
      </x:c>
      <x:c r="H48" s="10" t="str">
        <x:v>newnewshipping.com</x:v>
      </x:c>
      <x:c r="I48" s="10" t="str">
        <x:v>Russie européenne / Arctique; activité saisonnière</x:v>
      </x:c>
      <x:c r="J48" s="10" t="n">
        <x:f>COUNTIF('Navires détaillés'!$A$2:$A$229,C48)</x:f>
        <x:v>0</x:v>
      </x:c>
      <x:c r="K48" s="10" t="str">
        <x:f>IF(J48&gt;0,"OUI","NON")</x:f>
        <x:v>NON</x:v>
      </x:c>
      <x:c r="L48" s="10" t="n">
        <x:f>COUNTIFS('Navires détaillés'!$A$2:$A$229,C48,'Navires détaillés'!$L$2:$L$229,"A1")+COUNTIFS('Navires détaillés'!$A$2:$A$229,C48,'Navires détaillés'!$L$2:$L$229,"A2")</x:f>
        <x:v>0</x:v>
      </x:c>
      <x:c r="M48" s="39" t="str"/>
    </x:row>
    <x:row r="49">
      <x:c r="A49" s="10" t="n">
        <x:v>48</x:v>
      </x:c>
      <x:c r="B49" s="10" t="str">
        <x:v>EU-A</x:v>
      </x:c>
      <x:c r="C49" s="10" t="str">
        <x:v>Dole Ocean Cargo Express</x:v>
      </x:c>
      <x:c r="D49" s="10" t="str">
        <x:v>États-Unis / Charlotte</x:v>
      </x:c>
      <x:c r="E49" s="10" t="str">
        <x:v>Niche reefer / conteneur</x:v>
      </x:c>
      <x:c r="F49" s="10" t="str">
        <x:v>Amériques; Caraïbes</x:v>
      </x:c>
      <x:c r="G49" s="10" t="str">
        <x:v>Dole</x:v>
      </x:c>
      <x:c r="H49" s="10" t="str">
        <x:v>dole.com</x:v>
      </x:c>
      <x:c r="I49" s="10" t="str">
        <x:v>Service conteneur Europe-Caraïbes via Anvers</x:v>
      </x:c>
      <x:c r="J49" s="10" t="n">
        <x:f>COUNTIF('Navires détaillés'!$A$2:$A$229,C49)</x:f>
        <x:v>0</x:v>
      </x:c>
      <x:c r="K49" s="10" t="str">
        <x:f>IF(J49&gt;0,"OUI","NON")</x:f>
        <x:v>NON</x:v>
      </x:c>
      <x:c r="L49" s="10" t="n">
        <x:f>COUNTIFS('Navires détaillés'!$A$2:$A$229,C49,'Navires détaillés'!$L$2:$L$229,"A1")+COUNTIFS('Navires détaillés'!$A$2:$A$229,C49,'Navires détaillés'!$L$2:$L$229,"A2")</x:f>
        <x:v>0</x:v>
      </x:c>
      <x:c r="M49" s="39" t="str"/>
    </x:row>
    <x:row r="50">
      <x:c r="A50" s="10" t="n">
        <x:v>49</x:v>
      </x:c>
      <x:c r="B50" s="10" t="str">
        <x:v>NE</x:v>
      </x:c>
      <x:c r="C50" s="10" t="str">
        <x:v>CK Line (Chun Kyung)</x:v>
      </x:c>
      <x:c r="D50" s="10" t="str">
        <x:v>Corée du Sud / Séoul</x:v>
      </x:c>
      <x:c r="E50" s="10" t="str">
        <x:v>Régional</x:v>
      </x:c>
      <x:c r="F50" s="10" t="str">
        <x:v>Corée; Chine; Japon; Asie du Sud-Est; Russie</x:v>
      </x:c>
      <x:c r="G50" s="10" t="str">
        <x:v>-</x:v>
      </x:c>
      <x:c r="H50" s="10" t="str">
        <x:v>ckline.co.kr</x:v>
      </x:c>
      <x:c r="I50" s="10" t="str">
        <x:v>Corée; Chine; Japon; Asie du Sud-Est; Russie</x:v>
      </x:c>
      <x:c r="J50" s="10" t="n">
        <x:f>COUNTIF('Navires détaillés'!$A$2:$A$229,C50)</x:f>
        <x:v>0</x:v>
      </x:c>
      <x:c r="K50" s="10" t="str">
        <x:f>IF(J50&gt;0,"OUI","NON")</x:f>
        <x:v>NON</x:v>
      </x:c>
      <x:c r="L50" s="10" t="n">
        <x:f>COUNTIFS('Navires détaillés'!$A$2:$A$229,C50,'Navires détaillés'!$L$2:$L$229,"A1")+COUNTIFS('Navires détaillés'!$A$2:$A$229,C50,'Navires détaillés'!$L$2:$L$229,"A2")</x:f>
        <x:v>0</x:v>
      </x:c>
      <x:c r="M50" s="39" t="str"/>
    </x:row>
    <x:row r="51">
      <x:c r="A51" s="10" t="n">
        <x:v>50</x:v>
      </x:c>
      <x:c r="B51" s="10" t="str">
        <x:v>EU-B</x:v>
      </x:c>
      <x:c r="C51" s="10" t="str">
        <x:v>Sea Legend Shipping</x:v>
      </x:c>
      <x:c r="D51" s="10" t="str">
        <x:v>Singapour / Singapour</x:v>
      </x:c>
      <x:c r="E51" s="10" t="str">
        <x:v>Niche / régional</x:v>
      </x:c>
      <x:c r="F51" s="10" t="str">
        <x:v>Asie; Moyen-Orient; trades sélectifs</x:v>
      </x:c>
      <x:c r="G51" s="10" t="str">
        <x:v>-</x:v>
      </x:c>
      <x:c r="H51" s="10" t="str">
        <x:v>slg-shipping.com</x:v>
      </x:c>
      <x:c r="I51" s="10" t="str">
        <x:v>CAX arctique saisonnier vers Europe du Nord</x:v>
      </x:c>
      <x:c r="J51" s="10" t="n">
        <x:f>COUNTIF('Navires détaillés'!$A$2:$A$229,C51)</x:f>
        <x:v>0</x:v>
      </x:c>
      <x:c r="K51" s="10" t="str">
        <x:f>IF(J51&gt;0,"OUI","NON")</x:f>
        <x:v>NON</x:v>
      </x:c>
      <x:c r="L51" s="10" t="n">
        <x:f>COUNTIFS('Navires détaillés'!$A$2:$A$229,C51,'Navires détaillés'!$L$2:$L$229,"A1")+COUNTIFS('Navires détaillés'!$A$2:$A$229,C51,'Navires détaillés'!$L$2:$L$229,"A2")</x:f>
        <x:v>0</x:v>
      </x:c>
      <x:c r="M51" s="39" t="str"/>
    </x:row>
    <x:row r="52">
      <x:c r="A52" s="10" t="n">
        <x:v>51</x:v>
      </x:c>
      <x:c r="B52" s="10" t="str">
        <x:v>NE</x:v>
      </x:c>
      <x:c r="C52" s="10" t="str">
        <x:v>Crowley Maritime / Crowley Logistics</x:v>
      </x:c>
      <x:c r="D52" s="10" t="str">
        <x:v>États-Unis</x:v>
      </x:c>
      <x:c r="E52" s="10" t="str">
        <x:v>Régional</x:v>
      </x:c>
      <x:c r="F52" s="10" t="str">
        <x:v>Caraïbes; Amérique centrale; Porto Rico; Amérique latine</x:v>
      </x:c>
      <x:c r="G52" s="10" t="str"/>
      <x:c r="H52" s="10" t="str">
        <x:v>crowley.com</x:v>
      </x:c>
      <x:c r="I52" s="10" t="str">
        <x:v>Caraïbes; Amérique centrale; Porto Rico; Amérique latine</x:v>
      </x:c>
      <x:c r="J52" s="10" t="n">
        <x:f>COUNTIF('Navires détaillés'!$A$2:$A$229,C52)</x:f>
        <x:v>0</x:v>
      </x:c>
      <x:c r="K52" s="10" t="str">
        <x:f>IF(J52&gt;0,"OUI","NON")</x:f>
        <x:v>NON</x:v>
      </x:c>
      <x:c r="L52" s="10" t="n">
        <x:f>COUNTIFS('Navires détaillés'!$A$2:$A$229,C52,'Navires détaillés'!$L$2:$L$229,"A1")+COUNTIFS('Navires détaillés'!$A$2:$A$229,C52,'Navires détaillés'!$L$2:$L$229,"A2")</x:f>
        <x:v>0</x:v>
      </x:c>
      <x:c r="M52" s="39" t="str">
        <x:v>OCC conteneurisé + logistique</x:v>
      </x:c>
    </x:row>
    <x:row r="53">
      <x:c r="A53" s="10" t="n">
        <x:v>52</x:v>
      </x:c>
      <x:c r="B53" s="10" t="str">
        <x:v>EU-A</x:v>
      </x:c>
      <x:c r="C53" s="10" t="str">
        <x:v>Eimskip</x:v>
      </x:c>
      <x:c r="D53" s="10" t="str">
        <x:v>Islande</x:v>
      </x:c>
      <x:c r="E53" s="10" t="str">
        <x:v>Régional / niche</x:v>
      </x:c>
      <x:c r="F53" s="10" t="str">
        <x:v>Atlantique Nord; Islande; Féroé; Groenland; Europe; Amérique du Nord</x:v>
      </x:c>
      <x:c r="G53" s="10" t="str"/>
      <x:c r="H53" s="10" t="str">
        <x:v>eimskip.com</x:v>
      </x:c>
      <x:c r="I53" s="10" t="str">
        <x:v>Atlantique Nord / Europe</x:v>
      </x:c>
      <x:c r="J53" s="10" t="n">
        <x:f>COUNTIF('Navires détaillés'!$A$2:$A$229,C53)</x:f>
        <x:v>0</x:v>
      </x:c>
      <x:c r="K53" s="10" t="str">
        <x:f>IF(J53&gt;0,"OUI","NON")</x:f>
        <x:v>NON</x:v>
      </x:c>
      <x:c r="L53" s="10" t="n">
        <x:f>COUNTIFS('Navires détaillés'!$A$2:$A$229,C53,'Navires détaillés'!$L$2:$L$229,"A1")+COUNTIFS('Navires détaillés'!$A$2:$A$229,C53,'Navires détaillés'!$L$2:$L$229,"A2")</x:f>
        <x:v>0</x:v>
      </x:c>
      <x:c r="M53" s="39" t="str">
        <x:v>Lignes conteneur et reefer</x:v>
      </x:c>
    </x:row>
    <x:row r="54">
      <x:c r="A54" s="10" t="n">
        <x:v>53</x:v>
      </x:c>
      <x:c r="B54" s="10" t="str">
        <x:v>EU-A</x:v>
      </x:c>
      <x:c r="C54" s="10" t="str">
        <x:v>Independent Container Line (ICL)</x:v>
      </x:c>
      <x:c r="D54" s="10" t="str">
        <x:v>États-Unis / Royaume-Uni</x:v>
      </x:c>
      <x:c r="E54" s="10" t="str">
        <x:v>Niche deep-sea</x:v>
      </x:c>
      <x:c r="F54" s="10" t="str">
        <x:v>Atlantique Nord Europe - États-Unis</x:v>
      </x:c>
      <x:c r="G54" s="10" t="str"/>
      <x:c r="H54" s="10" t="str">
        <x:v>icl-ltd.com</x:v>
      </x:c>
      <x:c r="I54" s="10" t="str">
        <x:v>Atlantique Nord Europe-USA</x:v>
      </x:c>
      <x:c r="J54" s="10" t="n">
        <x:f>COUNTIF('Navires détaillés'!$A$2:$A$229,C54)</x:f>
        <x:v>0</x:v>
      </x:c>
      <x:c r="K54" s="10" t="str">
        <x:f>IF(J54&gt;0,"OUI","NON")</x:f>
        <x:v>NON</x:v>
      </x:c>
      <x:c r="L54" s="10" t="n">
        <x:f>COUNTIFS('Navires détaillés'!$A$2:$A$229,C54,'Navires détaillés'!$L$2:$L$229,"A1")+COUNTIFS('Navires détaillés'!$A$2:$A$229,C54,'Navires détaillés'!$L$2:$L$229,"A2")</x:f>
        <x:v>0</x:v>
      </x:c>
      <x:c r="M54" s="39" t="str">
        <x:v>Ligne conteneurisée indépendante</x:v>
      </x:c>
    </x:row>
    <x:row r="55">
      <x:c r="A55" s="10" t="n">
        <x:v>54</x:v>
      </x:c>
      <x:c r="B55" s="10" t="str">
        <x:v>NE</x:v>
      </x:c>
      <x:c r="C55" s="10" t="str">
        <x:v>King Ocean Services</x:v>
      </x:c>
      <x:c r="D55" s="10" t="str">
        <x:v>États-Unis</x:v>
      </x:c>
      <x:c r="E55" s="10" t="str">
        <x:v>Régional</x:v>
      </x:c>
      <x:c r="F55" s="10" t="str">
        <x:v>Caraïbes; Amérique centrale; nord de l’Amérique du Sud</x:v>
      </x:c>
      <x:c r="G55" s="10" t="str"/>
      <x:c r="H55" s="10" t="str">
        <x:v>kingocean.com</x:v>
      </x:c>
      <x:c r="I55" s="10" t="str">
        <x:v>Caraïbes; Amérique centrale; nord de l’Amérique du Sud</x:v>
      </x:c>
      <x:c r="J55" s="10" t="n">
        <x:f>COUNTIF('Navires détaillés'!$A$2:$A$229,C55)</x:f>
        <x:v>0</x:v>
      </x:c>
      <x:c r="K55" s="10" t="str">
        <x:f>IF(J55&gt;0,"OUI","NON")</x:f>
        <x:v>NON</x:v>
      </x:c>
      <x:c r="L55" s="10" t="n">
        <x:f>COUNTIFS('Navires détaillés'!$A$2:$A$229,C55,'Navires détaillés'!$L$2:$L$229,"A1")+COUNTIFS('Navires détaillés'!$A$2:$A$229,C55,'Navires détaillés'!$L$2:$L$229,"A2")</x:f>
        <x:v>0</x:v>
      </x:c>
      <x:c r="M55" s="39" t="str">
        <x:v>OCC conteneurisé</x:v>
      </x:c>
    </x:row>
    <x:row r="56">
      <x:c r="A56" s="10" t="n">
        <x:v>55</x:v>
      </x:c>
      <x:c r="B56" s="10" t="str">
        <x:v>NE</x:v>
      </x:c>
      <x:c r="C56" s="10" t="str">
        <x:v>Linea Peninsular</x:v>
      </x:c>
      <x:c r="D56" s="10" t="str">
        <x:v>États-Unis</x:v>
      </x:c>
      <x:c r="E56" s="10" t="str">
        <x:v>Régional</x:v>
      </x:c>
      <x:c r="F56" s="10" t="str">
        <x:v>Golfe des États-Unis - Mexique</x:v>
      </x:c>
      <x:c r="G56" s="10" t="str"/>
      <x:c r="H56" s="10" t="str">
        <x:v>lineapeninsular.com</x:v>
      </x:c>
      <x:c r="I56" s="10" t="str">
        <x:v>Golfe des États-Unis - Mexique</x:v>
      </x:c>
      <x:c r="J56" s="10" t="n">
        <x:f>COUNTIF('Navires détaillés'!$A$2:$A$229,C56)</x:f>
        <x:v>0</x:v>
      </x:c>
      <x:c r="K56" s="10" t="str">
        <x:f>IF(J56&gt;0,"OUI","NON")</x:f>
        <x:v>NON</x:v>
      </x:c>
      <x:c r="L56" s="10" t="n">
        <x:f>COUNTIFS('Navires détaillés'!$A$2:$A$229,C56,'Navires détaillés'!$L$2:$L$229,"A1")+COUNTIFS('Navires détaillés'!$A$2:$A$229,C56,'Navires détaillés'!$L$2:$L$229,"A2")</x:f>
        <x:v>0</x:v>
      </x:c>
      <x:c r="M56" s="39" t="str">
        <x:v>Ligne conteneurisée niche</x:v>
      </x:c>
    </x:row>
    <x:row r="57">
      <x:c r="A57" s="10" t="n">
        <x:v>56</x:v>
      </x:c>
      <x:c r="B57" s="10" t="str">
        <x:v>NE</x:v>
      </x:c>
      <x:c r="C57" s="10" t="str">
        <x:v>Network Shipping</x:v>
      </x:c>
      <x:c r="D57" s="10" t="str">
        <x:v>États-Unis</x:v>
      </x:c>
      <x:c r="E57" s="10" t="str">
        <x:v>Niche reefer / conteneur</x:v>
      </x:c>
      <x:c r="F57" s="10" t="str">
        <x:v>Amériques; flux agroalimentaires</x:v>
      </x:c>
      <x:c r="G57" s="10" t="str"/>
      <x:c r="H57" s="10" t="str">
        <x:v>networkshipping.com</x:v>
      </x:c>
      <x:c r="I57" s="10" t="str">
        <x:v>Flotte propre explicitement hors Europe / Moyen-Orient / Russie (2026)</x:v>
      </x:c>
      <x:c r="J57" s="10" t="n">
        <x:f>COUNTIF('Navires détaillés'!$A$2:$A$229,C57)</x:f>
        <x:v>0</x:v>
      </x:c>
      <x:c r="K57" s="10" t="str">
        <x:f>IF(J57&gt;0,"OUI","NON")</x:f>
        <x:v>NON</x:v>
      </x:c>
      <x:c r="L57" s="10" t="n">
        <x:f>COUNTIFS('Navires détaillés'!$A$2:$A$229,C57,'Navires détaillés'!$L$2:$L$229,"A1")+COUNTIFS('Navires détaillés'!$A$2:$A$229,C57,'Navires détaillés'!$L$2:$L$229,"A2")</x:f>
        <x:v>0</x:v>
      </x:c>
      <x:c r="M57" s="39" t="str">
        <x:v>Réseau maritime lié aux produits frais</x:v>
      </x:c>
    </x:row>
    <x:row r="58">
      <x:c r="A58" s="10" t="n">
        <x:v>57</x:v>
      </x:c>
      <x:c r="B58" s="10" t="str">
        <x:v>NE</x:v>
      </x:c>
      <x:c r="C58" s="10" t="str">
        <x:v>SEACOR Island Lines</x:v>
      </x:c>
      <x:c r="D58" s="10" t="str">
        <x:v>États-Unis</x:v>
      </x:c>
      <x:c r="E58" s="10" t="str">
        <x:v>Régional</x:v>
      </x:c>
      <x:c r="F58" s="10" t="str">
        <x:v>Bahamas; Turks &amp; Caicos; Caraïbes</x:v>
      </x:c>
      <x:c r="G58" s="10" t="str"/>
      <x:c r="H58" s="10" t="str">
        <x:v>seacorislandlines.com</x:v>
      </x:c>
      <x:c r="I58" s="10" t="str">
        <x:v>Bahamas; Turks &amp; Caicos; Caraïbes</x:v>
      </x:c>
      <x:c r="J58" s="10" t="n">
        <x:f>COUNTIF('Navires détaillés'!$A$2:$A$229,C58)</x:f>
        <x:v>0</x:v>
      </x:c>
      <x:c r="K58" s="10" t="str">
        <x:f>IF(J58&gt;0,"OUI","NON")</x:f>
        <x:v>NON</x:v>
      </x:c>
      <x:c r="L58" s="10" t="n">
        <x:f>COUNTIFS('Navires détaillés'!$A$2:$A$229,C58,'Navires détaillés'!$L$2:$L$229,"A1")+COUNTIFS('Navires détaillés'!$A$2:$A$229,C58,'Navires détaillés'!$L$2:$L$229,"A2")</x:f>
        <x:v>0</x:v>
      </x:c>
      <x:c r="M58" s="39" t="str">
        <x:v>Services conteneurisés insulaires</x:v>
      </x:c>
    </x:row>
    <x:row r="59">
      <x:c r="A59" s="10" t="n">
        <x:v>58</x:v>
      </x:c>
      <x:c r="B59" s="10" t="str">
        <x:v>NE</x:v>
      </x:c>
      <x:c r="C59" s="10" t="str">
        <x:v>Tropical Shipping</x:v>
      </x:c>
      <x:c r="D59" s="10" t="str">
        <x:v>États-Unis</x:v>
      </x:c>
      <x:c r="E59" s="10" t="str">
        <x:v>Régional</x:v>
      </x:c>
      <x:c r="F59" s="10" t="str">
        <x:v>Caraïbes; Bahamas; Antilles; Guyanes</x:v>
      </x:c>
      <x:c r="G59" s="10" t="str"/>
      <x:c r="H59" s="10" t="str">
        <x:v>tropical.com</x:v>
      </x:c>
      <x:c r="I59" s="10" t="str">
        <x:v>Caraïbes; Bahamas; Antilles; Guyanes</x:v>
      </x:c>
      <x:c r="J59" s="10" t="n">
        <x:f>COUNTIF('Navires détaillés'!$A$2:$A$229,C59)</x:f>
        <x:v>0</x:v>
      </x:c>
      <x:c r="K59" s="10" t="str">
        <x:f>IF(J59&gt;0,"OUI","NON")</x:f>
        <x:v>NON</x:v>
      </x:c>
      <x:c r="L59" s="10" t="n">
        <x:f>COUNTIFS('Navires détaillés'!$A$2:$A$229,C59,'Navires détaillés'!$L$2:$L$229,"A1")+COUNTIFS('Navires détaillés'!$A$2:$A$229,C59,'Navires détaillés'!$L$2:$L$229,"A2")</x:f>
        <x:v>0</x:v>
      </x:c>
      <x:c r="M59" s="39" t="str">
        <x:v>Conteneurs et breakbulk associé</x:v>
      </x:c>
    </x:row>
    <x:row r="60">
      <x:c r="A60" s="10" t="n">
        <x:v>59</x:v>
      </x:c>
      <x:c r="B60" s="10" t="str">
        <x:v>EU-A</x:v>
      </x:c>
      <x:c r="C60" s="10" t="str">
        <x:v>Turkon Line</x:v>
      </x:c>
      <x:c r="D60" s="10" t="str">
        <x:v>Türkiye</x:v>
      </x:c>
      <x:c r="E60" s="10" t="str">
        <x:v>Régional / deep-sea</x:v>
      </x:c>
      <x:c r="F60" s="10" t="str">
        <x:v>Türkiye; Europe; Méditerranée; États-Unis; Mer Rouge; Inde</x:v>
      </x:c>
      <x:c r="G60" s="10" t="str"/>
      <x:c r="H60" s="10" t="str">
        <x:v>turkon.com</x:v>
      </x:c>
      <x:c r="I60" s="10" t="str">
        <x:v>Türkiye / Europe / Méditerranée</x:v>
      </x:c>
      <x:c r="J60" s="10" t="n">
        <x:f>COUNTIF('Navires détaillés'!$A$2:$A$229,C60)</x:f>
        <x:v>0</x:v>
      </x:c>
      <x:c r="K60" s="10" t="str">
        <x:f>IF(J60&gt;0,"OUI","NON")</x:f>
        <x:v>NON</x:v>
      </x:c>
      <x:c r="L60" s="10" t="n">
        <x:f>COUNTIFS('Navires détaillés'!$A$2:$A$229,C60,'Navires détaillés'!$L$2:$L$229,"A1")+COUNTIFS('Navires détaillés'!$A$2:$A$229,C60,'Navires détaillés'!$L$2:$L$229,"A2")</x:f>
        <x:v>0</x:v>
      </x:c>
      <x:c r="M60" s="39" t="str">
        <x:v>Armateur conteneur turc</x:v>
      </x:c>
    </x:row>
    <x:row r="61">
      <x:c r="A61" s="10" t="n">
        <x:v>60</x:v>
      </x:c>
      <x:c r="B61" s="10" t="str">
        <x:v>NE</x:v>
      </x:c>
      <x:c r="C61" s="10" t="str">
        <x:v>World Direct Shipping</x:v>
      </x:c>
      <x:c r="D61" s="10" t="str">
        <x:v>États-Unis</x:v>
      </x:c>
      <x:c r="E61" s="10" t="str">
        <x:v>Régional</x:v>
      </x:c>
      <x:c r="F61" s="10" t="str">
        <x:v>Golfe USA - Mexique</x:v>
      </x:c>
      <x:c r="G61" s="10" t="str"/>
      <x:c r="H61" s="10" t="str">
        <x:v>worlddirectshipping.com</x:v>
      </x:c>
      <x:c r="I61" s="10" t="str">
        <x:v>Golfe USA - Mexique</x:v>
      </x:c>
      <x:c r="J61" s="10" t="n">
        <x:f>COUNTIF('Navires détaillés'!$A$2:$A$229,C61)</x:f>
        <x:v>0</x:v>
      </x:c>
      <x:c r="K61" s="10" t="str">
        <x:f>IF(J61&gt;0,"OUI","NON")</x:f>
        <x:v>NON</x:v>
      </x:c>
      <x:c r="L61" s="10" t="n">
        <x:f>COUNTIFS('Navires détaillés'!$A$2:$A$229,C61,'Navires détaillés'!$L$2:$L$229,"A1")+COUNTIFS('Navires détaillés'!$A$2:$A$229,C61,'Navires détaillés'!$L$2:$L$229,"A2")</x:f>
        <x:v>0</x:v>
      </x:c>
      <x:c r="M61" s="39" t="str">
        <x:v>OCC conteneurisé</x:v>
      </x:c>
    </x:row>
    <x:row r="62">
      <x:c r="A62" s="10" t="n">
        <x:v>61</x:v>
      </x:c>
      <x:c r="B62" s="10" t="str">
        <x:v>NE</x:v>
      </x:c>
      <x:c r="C62" s="10" t="str">
        <x:v>Pasha Hawaii</x:v>
      </x:c>
      <x:c r="D62" s="10" t="str">
        <x:v>États-Unis</x:v>
      </x:c>
      <x:c r="E62" s="10" t="str">
        <x:v>Régional</x:v>
      </x:c>
      <x:c r="F62" s="10" t="str">
        <x:v>Côte Ouest USA - Hawaii</x:v>
      </x:c>
      <x:c r="G62" s="10" t="str"/>
      <x:c r="H62" s="10" t="str">
        <x:v>pashahawaii.com</x:v>
      </x:c>
      <x:c r="I62" s="10" t="str">
        <x:v>Côte Ouest USA - Hawaii</x:v>
      </x:c>
      <x:c r="J62" s="10" t="n">
        <x:f>COUNTIF('Navires détaillés'!$A$2:$A$229,C62)</x:f>
        <x:v>0</x:v>
      </x:c>
      <x:c r="K62" s="10" t="str">
        <x:f>IF(J62&gt;0,"OUI","NON")</x:f>
        <x:v>NON</x:v>
      </x:c>
      <x:c r="L62" s="10" t="n">
        <x:f>COUNTIFS('Navires détaillés'!$A$2:$A$229,C62,'Navires détaillés'!$L$2:$L$229,"A1")+COUNTIFS('Navires détaillés'!$A$2:$A$229,C62,'Navires détaillés'!$L$2:$L$229,"A2")</x:f>
        <x:v>0</x:v>
      </x:c>
      <x:c r="M62" s="39" t="str">
        <x:v>Conteneur + RoRo</x:v>
      </x:c>
    </x:row>
    <x:row r="63">
      <x:c r="A63" s="10" t="n">
        <x:v>62</x:v>
      </x:c>
      <x:c r="B63" s="10" t="str">
        <x:v>NE</x:v>
      </x:c>
      <x:c r="C63" s="10" t="str">
        <x:v>TOTE Maritime</x:v>
      </x:c>
      <x:c r="D63" s="10" t="str">
        <x:v>États-Unis</x:v>
      </x:c>
      <x:c r="E63" s="10" t="str">
        <x:v>Régional</x:v>
      </x:c>
      <x:c r="F63" s="10" t="str">
        <x:v>Alaska; Porto Rico; États-Unis</x:v>
      </x:c>
      <x:c r="G63" s="10" t="str"/>
      <x:c r="H63" s="10" t="str">
        <x:v>totemaritime.com</x:v>
      </x:c>
      <x:c r="I63" s="10" t="str">
        <x:v>Alaska; Porto Rico; États-Unis</x:v>
      </x:c>
      <x:c r="J63" s="10" t="n">
        <x:f>COUNTIF('Navires détaillés'!$A$2:$A$229,C63)</x:f>
        <x:v>0</x:v>
      </x:c>
      <x:c r="K63" s="10" t="str">
        <x:f>IF(J63&gt;0,"OUI","NON")</x:f>
        <x:v>NON</x:v>
      </x:c>
      <x:c r="L63" s="10" t="n">
        <x:f>COUNTIFS('Navires détaillés'!$A$2:$A$229,C63,'Navires détaillés'!$L$2:$L$229,"A1")+COUNTIFS('Navires détaillés'!$A$2:$A$229,C63,'Navires détaillés'!$L$2:$L$229,"A2")</x:f>
        <x:v>0</x:v>
      </x:c>
      <x:c r="M63" s="39" t="str">
        <x:v>Conteneur / RoRo domestique US</x:v>
      </x:c>
    </x:row>
    <x:row r="64">
      <x:c r="A64" s="10" t="n">
        <x:v>63</x:v>
      </x:c>
      <x:c r="B64" s="10" t="str">
        <x:v>EU-A</x:v>
      </x:c>
      <x:c r="C64" s="10" t="str">
        <x:v>Royal Arctic Line</x:v>
      </x:c>
      <x:c r="D64" s="10" t="str">
        <x:v>Groenland</x:v>
      </x:c>
      <x:c r="E64" s="10" t="str">
        <x:v>Régional</x:v>
      </x:c>
      <x:c r="F64" s="10" t="str">
        <x:v>Groenland; Danemark; Islande / Atlantique Nord</x:v>
      </x:c>
      <x:c r="G64" s="10" t="str"/>
      <x:c r="H64" s="10" t="str">
        <x:v>ral.gl</x:v>
      </x:c>
      <x:c r="I64" s="10" t="str">
        <x:v>Groenland-Danemark / Atlantique Nord</x:v>
      </x:c>
      <x:c r="J64" s="10" t="n">
        <x:f>COUNTIF('Navires détaillés'!$A$2:$A$229,C64)</x:f>
        <x:v>0</x:v>
      </x:c>
      <x:c r="K64" s="10" t="str">
        <x:f>IF(J64&gt;0,"OUI","NON")</x:f>
        <x:v>NON</x:v>
      </x:c>
      <x:c r="L64" s="10" t="n">
        <x:f>COUNTIFS('Navires détaillés'!$A$2:$A$229,C64,'Navires détaillés'!$L$2:$L$229,"A1")+COUNTIFS('Navires détaillés'!$A$2:$A$229,C64,'Navires détaillés'!$L$2:$L$229,"A2")</x:f>
        <x:v>0</x:v>
      </x:c>
      <x:c r="M64" s="39" t="str">
        <x:v>Transport maritime national groenlandais</x:v>
      </x:c>
    </x:row>
    <x:row r="65">
      <x:c r="A65" s="10" t="n">
        <x:v>64</x:v>
      </x:c>
      <x:c r="B65" s="10" t="str">
        <x:v>EU-A</x:v>
      </x:c>
      <x:c r="C65" s="10" t="str">
        <x:v>Marfret</x:v>
      </x:c>
      <x:c r="D65" s="10" t="str">
        <x:v>France</x:v>
      </x:c>
      <x:c r="E65" s="10" t="str">
        <x:v>Régional / niche</x:v>
      </x:c>
      <x:c r="F65" s="10" t="str">
        <x:v>Méditerranée; Atlantique Nord; Caraïbes; Pacifique Sud</x:v>
      </x:c>
      <x:c r="G65" s="10" t="str"/>
      <x:c r="H65" s="10" t="str">
        <x:v>marfret.com</x:v>
      </x:c>
      <x:c r="I65" s="10" t="str">
        <x:v>Méditerranée / Europe / Atlantique</x:v>
      </x:c>
      <x:c r="J65" s="10" t="n">
        <x:f>COUNTIF('Navires détaillés'!$A$2:$A$229,C65)</x:f>
        <x:v>1</x:v>
      </x:c>
      <x:c r="K65" s="10" t="str">
        <x:f>IF(J65&gt;0,"OUI","NON")</x:f>
        <x:v>OUI</x:v>
      </x:c>
      <x:c r="L65" s="10" t="n">
        <x:f>COUNTIFS('Navires détaillés'!$A$2:$A$229,C65,'Navires détaillés'!$L$2:$L$229,"A1")+COUNTIFS('Navires détaillés'!$A$2:$A$229,C65,'Navires détaillés'!$L$2:$L$229,"A2")</x:f>
        <x:v>0</x:v>
      </x:c>
      <x:c r="M65" s="39" t="str">
        <x:v>Lignes régulières conteneurisées + MPV</x:v>
      </x:c>
    </x:row>
    <x:row r="66">
      <x:c r="A66" s="10" t="n">
        <x:v>65</x:v>
      </x:c>
      <x:c r="B66" s="10" t="str">
        <x:v>EU-A</x:v>
      </x:c>
      <x:c r="C66" s="10" t="str">
        <x:v>Tarros</x:v>
      </x:c>
      <x:c r="D66" s="10" t="str">
        <x:v>Italie</x:v>
      </x:c>
      <x:c r="E66" s="10" t="str">
        <x:v>Régional</x:v>
      </x:c>
      <x:c r="F66" s="10" t="str">
        <x:v>Méditerranée</x:v>
      </x:c>
      <x:c r="G66" s="10" t="str"/>
      <x:c r="H66" s="10" t="str">
        <x:v>tarros.it</x:v>
      </x:c>
      <x:c r="I66" s="10" t="str">
        <x:v>Méditerranée européenne</x:v>
      </x:c>
      <x:c r="J66" s="10" t="n">
        <x:f>COUNTIF('Navires détaillés'!$A$2:$A$229,C66)</x:f>
        <x:v>0</x:v>
      </x:c>
      <x:c r="K66" s="10" t="str">
        <x:f>IF(J66&gt;0,"OUI","NON")</x:f>
        <x:v>NON</x:v>
      </x:c>
      <x:c r="L66" s="10" t="n">
        <x:f>COUNTIFS('Navires détaillés'!$A$2:$A$229,C66,'Navires détaillés'!$L$2:$L$229,"A1")+COUNTIFS('Navires détaillés'!$A$2:$A$229,C66,'Navires détaillés'!$L$2:$L$229,"A2")</x:f>
        <x:v>0</x:v>
      </x:c>
      <x:c r="M66" s="39" t="str">
        <x:v>Réseau maritime conteneurisé + activités multipurpose</x:v>
      </x:c>
    </x:row>
    <x:row r="67">
      <x:c r="A67" s="10" t="n">
        <x:v>66</x:v>
      </x:c>
      <x:c r="B67" s="10" t="str">
        <x:v>EU-A</x:v>
      </x:c>
      <x:c r="C67" s="10" t="str">
        <x:v>Medkon Lines</x:v>
      </x:c>
      <x:c r="D67" s="10" t="str">
        <x:v>Türkiye</x:v>
      </x:c>
      <x:c r="E67" s="10" t="str">
        <x:v>Régional / feeder</x:v>
      </x:c>
      <x:c r="F67" s="10" t="str">
        <x:v>Türkiye; Méditerranée orientale; Mer Noire</x:v>
      </x:c>
      <x:c r="G67" s="10" t="str"/>
      <x:c r="H67" s="10" t="str">
        <x:v>medkonlines.com</x:v>
      </x:c>
      <x:c r="I67" s="10" t="str">
        <x:v>Méditerranée / mer Noire</x:v>
      </x:c>
      <x:c r="J67" s="10" t="n">
        <x:f>COUNTIF('Navires détaillés'!$A$2:$A$229,C67)</x:f>
        <x:v>0</x:v>
      </x:c>
      <x:c r="K67" s="10" t="str">
        <x:f>IF(J67&gt;0,"OUI","NON")</x:f>
        <x:v>NON</x:v>
      </x:c>
      <x:c r="L67" s="10" t="n">
        <x:f>COUNTIFS('Navires détaillés'!$A$2:$A$229,C67,'Navires détaillés'!$L$2:$L$229,"A1")+COUNTIFS('Navires détaillés'!$A$2:$A$229,C67,'Navires détaillés'!$L$2:$L$229,"A2")</x:f>
        <x:v>0</x:v>
      </x:c>
      <x:c r="M67" s="39" t="str">
        <x:v>Lignes conteneurisées et feeder</x:v>
      </x:c>
    </x:row>
    <x:row r="68">
      <x:c r="A68" s="10" t="n">
        <x:v>67</x:v>
      </x:c>
      <x:c r="B68" s="10" t="str">
        <x:v>EU-A</x:v>
      </x:c>
      <x:c r="C68" s="10" t="str">
        <x:v>Borchard Lines</x:v>
      </x:c>
      <x:c r="D68" s="10" t="str">
        <x:v>Royaume-Uni</x:v>
      </x:c>
      <x:c r="E68" s="10" t="str">
        <x:v>Régional</x:v>
      </x:c>
      <x:c r="F68" s="10" t="str">
        <x:v>Europe du Nord; Méditerranée; Israël</x:v>
      </x:c>
      <x:c r="G68" s="10" t="str"/>
      <x:c r="H68" s="10" t="str">
        <x:v>borchardlines.com</x:v>
      </x:c>
      <x:c r="I68" s="10" t="str">
        <x:v>Europe du Nord / Méditerranée</x:v>
      </x:c>
      <x:c r="J68" s="10" t="n">
        <x:f>COUNTIF('Navires détaillés'!$A$2:$A$229,C68)</x:f>
        <x:v>0</x:v>
      </x:c>
      <x:c r="K68" s="10" t="str">
        <x:f>IF(J68&gt;0,"OUI","NON")</x:f>
        <x:v>NON</x:v>
      </x:c>
      <x:c r="L68" s="10" t="n">
        <x:f>COUNTIFS('Navires détaillés'!$A$2:$A$229,C68,'Navires détaillés'!$L$2:$L$229,"A1")+COUNTIFS('Navires détaillés'!$A$2:$A$229,C68,'Navires détaillés'!$L$2:$L$229,"A2")</x:f>
        <x:v>0</x:v>
      </x:c>
      <x:c r="M68" s="39" t="str">
        <x:v>Short-sea / conteneur</x:v>
      </x:c>
    </x:row>
    <x:row r="69">
      <x:c r="A69" s="10" t="n">
        <x:v>68</x:v>
      </x:c>
      <x:c r="B69" s="10" t="str">
        <x:v>EU-A</x:v>
      </x:c>
      <x:c r="C69" s="10" t="str">
        <x:v>Boluda Shipping</x:v>
      </x:c>
      <x:c r="D69" s="10" t="str">
        <x:v>Espagne</x:v>
      </x:c>
      <x:c r="E69" s="10" t="str">
        <x:v>Régional</x:v>
      </x:c>
      <x:c r="F69" s="10" t="str">
        <x:v>Péninsule ibérique; Canaries; Afrique de l’Ouest; îles atlantiques</x:v>
      </x:c>
      <x:c r="G69" s="10" t="str"/>
      <x:c r="H69" s="10" t="str">
        <x:v>boluda.com</x:v>
      </x:c>
      <x:c r="I69" s="10" t="str">
        <x:v>Espagne / Canaries / Europe-atlantique</x:v>
      </x:c>
      <x:c r="J69" s="10" t="n">
        <x:f>COUNTIF('Navires détaillés'!$A$2:$A$229,C69)</x:f>
        <x:v>0</x:v>
      </x:c>
      <x:c r="K69" s="10" t="str">
        <x:f>IF(J69&gt;0,"OUI","NON")</x:f>
        <x:v>NON</x:v>
      </x:c>
      <x:c r="L69" s="10" t="n">
        <x:f>COUNTIFS('Navires détaillés'!$A$2:$A$229,C69,'Navires détaillés'!$L$2:$L$229,"A1")+COUNTIFS('Navires détaillés'!$A$2:$A$229,C69,'Navires détaillés'!$L$2:$L$229,"A2")</x:f>
        <x:v>0</x:v>
      </x:c>
      <x:c r="M69" s="39" t="str">
        <x:v>Short-sea / conteneur</x:v>
      </x:c>
    </x:row>
    <x:row r="70">
      <x:c r="A70" s="10" t="n">
        <x:v>69</x:v>
      </x:c>
      <x:c r="B70" s="10" t="str">
        <x:v>EU-A</x:v>
      </x:c>
      <x:c r="C70" s="10" t="str">
        <x:v>Geest Line</x:v>
      </x:c>
      <x:c r="D70" s="10" t="str">
        <x:v>Royaume-Uni</x:v>
      </x:c>
      <x:c r="E70" s="10" t="str">
        <x:v>Niche</x:v>
      </x:c>
      <x:c r="F70" s="10" t="str">
        <x:v>Europe - Caraïbes</x:v>
      </x:c>
      <x:c r="G70" s="10" t="str"/>
      <x:c r="H70" s="10" t="str">
        <x:v>geestline.com</x:v>
      </x:c>
      <x:c r="I70" s="10" t="str">
        <x:v>Europe-Caraïbes</x:v>
      </x:c>
      <x:c r="J70" s="10" t="n">
        <x:f>COUNTIF('Navires détaillés'!$A$2:$A$229,C70)</x:f>
        <x:v>0</x:v>
      </x:c>
      <x:c r="K70" s="10" t="str">
        <x:f>IF(J70&gt;0,"OUI","NON")</x:f>
        <x:v>NON</x:v>
      </x:c>
      <x:c r="L70" s="10" t="n">
        <x:f>COUNTIFS('Navires détaillés'!$A$2:$A$229,C70,'Navires détaillés'!$L$2:$L$229,"A1")+COUNTIFS('Navires détaillés'!$A$2:$A$229,C70,'Navires détaillés'!$L$2:$L$229,"A2")</x:f>
        <x:v>0</x:v>
      </x:c>
      <x:c r="M70" s="39" t="str">
        <x:v>Conteneur et cargaisons spécialisées</x:v>
      </x:c>
    </x:row>
    <x:row r="71">
      <x:c r="A71" s="10" t="n">
        <x:v>70</x:v>
      </x:c>
      <x:c r="B71" s="10" t="str">
        <x:v>EU-A</x:v>
      </x:c>
      <x:c r="C71" s="10" t="str">
        <x:v>Nirint Shipping</x:v>
      </x:c>
      <x:c r="D71" s="10" t="str">
        <x:v>Pays-Bas</x:v>
      </x:c>
      <x:c r="E71" s="10" t="str">
        <x:v>Niche</x:v>
      </x:c>
      <x:c r="F71" s="10" t="str">
        <x:v>Europe; Caraïbes; côte nord de l’Amérique du Sud</x:v>
      </x:c>
      <x:c r="G71" s="10" t="str"/>
      <x:c r="H71" s="10" t="str">
        <x:v>nirint.com</x:v>
      </x:c>
      <x:c r="I71" s="10" t="str">
        <x:v>Europe-Caraïbes / NCSA</x:v>
      </x:c>
      <x:c r="J71" s="10" t="n">
        <x:f>COUNTIF('Navires détaillés'!$A$2:$A$229,C71)</x:f>
        <x:v>0</x:v>
      </x:c>
      <x:c r="K71" s="10" t="str">
        <x:f>IF(J71&gt;0,"OUI","NON")</x:f>
        <x:v>NON</x:v>
      </x:c>
      <x:c r="L71" s="10" t="n">
        <x:f>COUNTIFS('Navires détaillés'!$A$2:$A$229,C71,'Navires détaillés'!$L$2:$L$229,"A1")+COUNTIFS('Navires détaillés'!$A$2:$A$229,C71,'Navires détaillés'!$L$2:$L$229,"A2")</x:f>
        <x:v>0</x:v>
      </x:c>
      <x:c r="M71" s="39" t="str">
        <x:v>Ligne régulière conteneur / multipurpose</x:v>
      </x:c>
    </x:row>
    <x:row r="72">
      <x:c r="A72" s="10" t="n">
        <x:v>71</x:v>
      </x:c>
      <x:c r="B72" s="10" t="str">
        <x:v>NE</x:v>
      </x:c>
      <x:c r="C72" s="10" t="str">
        <x:v>Kambara Kisen</x:v>
      </x:c>
      <x:c r="D72" s="10" t="str">
        <x:v>Japon</x:v>
      </x:c>
      <x:c r="E72" s="10" t="str">
        <x:v>Régional</x:v>
      </x:c>
      <x:c r="F72" s="10" t="str">
        <x:v>Japon; Chine; Corée; Asie du Sud-Est</x:v>
      </x:c>
      <x:c r="G72" s="10" t="str"/>
      <x:c r="H72" s="10" t="str">
        <x:v>kambara-kisen.co.jp</x:v>
      </x:c>
      <x:c r="I72" s="10" t="str">
        <x:v>Japon; Chine; Corée; Asie du Sud-Est</x:v>
      </x:c>
      <x:c r="J72" s="10" t="n">
        <x:f>COUNTIF('Navires détaillés'!$A$2:$A$229,C72)</x:f>
        <x:v>0</x:v>
      </x:c>
      <x:c r="K72" s="10" t="str">
        <x:f>IF(J72&gt;0,"OUI","NON")</x:f>
        <x:v>NON</x:v>
      </x:c>
      <x:c r="L72" s="10" t="n">
        <x:f>COUNTIFS('Navires détaillés'!$A$2:$A$229,C72,'Navires détaillés'!$L$2:$L$229,"A1")+COUNTIFS('Navires détaillés'!$A$2:$A$229,C72,'Navires détaillés'!$L$2:$L$229,"A2")</x:f>
        <x:v>0</x:v>
      </x:c>
      <x:c r="M72" s="39" t="str">
        <x:v>Lignes régionales conteneurisées</x:v>
      </x:c>
    </x:row>
    <x:row r="73">
      <x:c r="A73" s="10" t="n">
        <x:v>72</x:v>
      </x:c>
      <x:c r="B73" s="10" t="str">
        <x:v>NE</x:v>
      </x:c>
      <x:c r="C73" s="10" t="str">
        <x:v>Pan Continental Shipping (PanCon)</x:v>
      </x:c>
      <x:c r="D73" s="10" t="str">
        <x:v>Corée du Sud</x:v>
      </x:c>
      <x:c r="E73" s="10" t="str">
        <x:v>Régional</x:v>
      </x:c>
      <x:c r="F73" s="10" t="str">
        <x:v>Corée; Japon; Chine; Asie du Sud-Est</x:v>
      </x:c>
      <x:c r="G73" s="10" t="str"/>
      <x:c r="H73" s="10" t="str">
        <x:v>pancon.co.kr</x:v>
      </x:c>
      <x:c r="I73" s="10" t="str">
        <x:v>Corée; Japon; Chine; Asie du Sud-Est</x:v>
      </x:c>
      <x:c r="J73" s="10" t="n">
        <x:f>COUNTIF('Navires détaillés'!$A$2:$A$229,C73)</x:f>
        <x:v>0</x:v>
      </x:c>
      <x:c r="K73" s="10" t="str">
        <x:f>IF(J73&gt;0,"OUI","NON")</x:f>
        <x:v>NON</x:v>
      </x:c>
      <x:c r="L73" s="10" t="n">
        <x:f>COUNTIFS('Navires détaillés'!$A$2:$A$229,C73,'Navires détaillés'!$L$2:$L$229,"A1")+COUNTIFS('Navires détaillés'!$A$2:$A$229,C73,'Navires détaillés'!$L$2:$L$229,"A2")</x:f>
        <x:v>0</x:v>
      </x:c>
      <x:c r="M73" s="39" t="str">
        <x:v>Intra-Asie conteneur</x:v>
      </x:c>
    </x:row>
    <x:row r="74">
      <x:c r="A74" s="10" t="n">
        <x:v>73</x:v>
      </x:c>
      <x:c r="B74" s="10" t="str">
        <x:v>NE</x:v>
      </x:c>
      <x:c r="C74" s="10" t="str">
        <x:v>Dongjin Shipping</x:v>
      </x:c>
      <x:c r="D74" s="10" t="str">
        <x:v>Corée du Sud</x:v>
      </x:c>
      <x:c r="E74" s="10" t="str">
        <x:v>Régional</x:v>
      </x:c>
      <x:c r="F74" s="10" t="str">
        <x:v>Corée; Japon; Chine; Russie Extrême-Orient</x:v>
      </x:c>
      <x:c r="G74" s="10" t="str"/>
      <x:c r="H74" s="10" t="str">
        <x:v>djship.co.kr</x:v>
      </x:c>
      <x:c r="I74" s="10" t="str">
        <x:v>Corée; Japon; Chine; Russie Extrême-Orient</x:v>
      </x:c>
      <x:c r="J74" s="10" t="n">
        <x:f>COUNTIF('Navires détaillés'!$A$2:$A$229,C74)</x:f>
        <x:v>0</x:v>
      </x:c>
      <x:c r="K74" s="10" t="str">
        <x:f>IF(J74&gt;0,"OUI","NON")</x:f>
        <x:v>NON</x:v>
      </x:c>
      <x:c r="L74" s="10" t="n">
        <x:f>COUNTIFS('Navires détaillés'!$A$2:$A$229,C74,'Navires détaillés'!$L$2:$L$229,"A1")+COUNTIFS('Navires détaillés'!$A$2:$A$229,C74,'Navires détaillés'!$L$2:$L$229,"A2")</x:f>
        <x:v>0</x:v>
      </x:c>
      <x:c r="M74" s="39" t="str">
        <x:v>Intra-Asie conteneur</x:v>
      </x:c>
    </x:row>
    <x:row r="75">
      <x:c r="A75" s="10" t="n">
        <x:v>74</x:v>
      </x:c>
      <x:c r="B75" s="10" t="str">
        <x:v>NE</x:v>
      </x:c>
      <x:c r="C75" s="10" t="str">
        <x:v>Asean Seas Line (ASL)</x:v>
      </x:c>
      <x:c r="D75" s="10" t="str">
        <x:v>Chine</x:v>
      </x:c>
      <x:c r="E75" s="10" t="str">
        <x:v>Régional</x:v>
      </x:c>
      <x:c r="F75" s="10" t="str">
        <x:v>Chine; Japon; Corée; Asie du Sud-Est</x:v>
      </x:c>
      <x:c r="G75" s="10" t="str"/>
      <x:c r="H75" s="10" t="str">
        <x:v>aslshipping.com</x:v>
      </x:c>
      <x:c r="I75" s="10" t="str">
        <x:v>Chine; Japon; Corée; Asie du Sud-Est</x:v>
      </x:c>
      <x:c r="J75" s="10" t="n">
        <x:f>COUNTIF('Navires détaillés'!$A$2:$A$229,C75)</x:f>
        <x:v>0</x:v>
      </x:c>
      <x:c r="K75" s="10" t="str">
        <x:f>IF(J75&gt;0,"OUI","NON")</x:f>
        <x:v>NON</x:v>
      </x:c>
      <x:c r="L75" s="10" t="n">
        <x:f>COUNTIFS('Navires détaillés'!$A$2:$A$229,C75,'Navires détaillés'!$L$2:$L$229,"A1")+COUNTIFS('Navires détaillés'!$A$2:$A$229,C75,'Navires détaillés'!$L$2:$L$229,"A2")</x:f>
        <x:v>0</x:v>
      </x:c>
      <x:c r="M75" s="39" t="str">
        <x:v>Ligne régionale conteneur</x:v>
      </x:c>
    </x:row>
    <x:row r="76">
      <x:c r="A76" s="10" t="n">
        <x:v>75</x:v>
      </x:c>
      <x:c r="B76" s="10" t="str">
        <x:v>NE</x:v>
      </x:c>
      <x:c r="C76" s="10" t="str">
        <x:v>MTT Shipping</x:v>
      </x:c>
      <x:c r="D76" s="10" t="str">
        <x:v>Malaisie</x:v>
      </x:c>
      <x:c r="E76" s="10" t="str">
        <x:v>Régional</x:v>
      </x:c>
      <x:c r="F76" s="10" t="str">
        <x:v>Malaisie; Asie du Sud-Est</x:v>
      </x:c>
      <x:c r="G76" s="10" t="str"/>
      <x:c r="H76" s="10" t="str">
        <x:v>mttshipping.com.my</x:v>
      </x:c>
      <x:c r="I76" s="10" t="str">
        <x:v>Malaisie; Asie du Sud-Est</x:v>
      </x:c>
      <x:c r="J76" s="10" t="n">
        <x:f>COUNTIF('Navires détaillés'!$A$2:$A$229,C76)</x:f>
        <x:v>0</x:v>
      </x:c>
      <x:c r="K76" s="10" t="str">
        <x:f>IF(J76&gt;0,"OUI","NON")</x:f>
        <x:v>NON</x:v>
      </x:c>
      <x:c r="L76" s="10" t="n">
        <x:f>COUNTIFS('Navires détaillés'!$A$2:$A$229,C76,'Navires détaillés'!$L$2:$L$229,"A1")+COUNTIFS('Navires détaillés'!$A$2:$A$229,C76,'Navires détaillés'!$L$2:$L$229,"A2")</x:f>
        <x:v>0</x:v>
      </x:c>
      <x:c r="M76" s="39" t="str">
        <x:v>Ligne conteneur régionale</x:v>
      </x:c>
    </x:row>
    <x:row r="77">
      <x:c r="A77" s="10" t="n">
        <x:v>76</x:v>
      </x:c>
      <x:c r="B77" s="10" t="str">
        <x:v>NE</x:v>
      </x:c>
      <x:c r="C77" s="10" t="str">
        <x:v>Taicang Container Lines</x:v>
      </x:c>
      <x:c r="D77" s="10" t="str">
        <x:v>Chine</x:v>
      </x:c>
      <x:c r="E77" s="10" t="str">
        <x:v>Régional</x:v>
      </x:c>
      <x:c r="F77" s="10" t="str">
        <x:v>Chine; Japon; Corée</x:v>
      </x:c>
      <x:c r="G77" s="10" t="str"/>
      <x:c r="H77" s="10" t="str">
        <x:v>-</x:v>
      </x:c>
      <x:c r="I77" s="10" t="str">
        <x:v>Chine; Japon; Corée</x:v>
      </x:c>
      <x:c r="J77" s="10" t="n">
        <x:f>COUNTIF('Navires détaillés'!$A$2:$A$229,C77)</x:f>
        <x:v>0</x:v>
      </x:c>
      <x:c r="K77" s="10" t="str">
        <x:f>IF(J77&gt;0,"OUI","NON")</x:f>
        <x:v>NON</x:v>
      </x:c>
      <x:c r="L77" s="10" t="n">
        <x:f>COUNTIFS('Navires détaillés'!$A$2:$A$229,C77,'Navires détaillés'!$L$2:$L$229,"A1")+COUNTIFS('Navires détaillés'!$A$2:$A$229,C77,'Navires détaillés'!$L$2:$L$229,"A2")</x:f>
        <x:v>0</x:v>
      </x:c>
      <x:c r="M77" s="39" t="str">
        <x:v>Ligne régionale conteneur</x:v>
      </x:c>
    </x:row>
    <x:row r="78">
      <x:c r="A78" s="10" t="n">
        <x:v>77</x:v>
      </x:c>
      <x:c r="B78" s="10" t="str">
        <x:v>EU-A</x:v>
      </x:c>
      <x:c r="C78" s="10" t="str">
        <x:v>Milaha Container Shipping</x:v>
      </x:c>
      <x:c r="D78" s="10" t="str">
        <x:v>Qatar</x:v>
      </x:c>
      <x:c r="E78" s="10" t="str">
        <x:v>Feeder / régional</x:v>
      </x:c>
      <x:c r="F78" s="10" t="str">
        <x:v>Golfe; Inde; Mer Rouge; Méditerranée</x:v>
      </x:c>
      <x:c r="G78" s="10" t="str"/>
      <x:c r="H78" s="10" t="str">
        <x:v>milaha.com</x:v>
      </x:c>
      <x:c r="I78" s="10" t="str">
        <x:v>Réseau Europe / Med-Black Sea</x:v>
      </x:c>
      <x:c r="J78" s="10" t="n">
        <x:f>COUNTIF('Navires détaillés'!$A$2:$A$229,C78)</x:f>
        <x:v>0</x:v>
      </x:c>
      <x:c r="K78" s="10" t="str">
        <x:f>IF(J78&gt;0,"OUI","NON")</x:f>
        <x:v>NON</x:v>
      </x:c>
      <x:c r="L78" s="10" t="n">
        <x:f>COUNTIFS('Navires détaillés'!$A$2:$A$229,C78,'Navires détaillés'!$L$2:$L$229,"A1")+COUNTIFS('Navires détaillés'!$A$2:$A$229,C78,'Navires détaillés'!$L$2:$L$229,"A2")</x:f>
        <x:v>0</x:v>
      </x:c>
      <x:c r="M78" s="39" t="str">
        <x:v>Feeder et lignes conteneurisées</x:v>
      </x:c>
    </x:row>
    <x:row r="79">
      <x:c r="A79" s="10" t="n">
        <x:v>78</x:v>
      </x:c>
      <x:c r="B79" s="10" t="str">
        <x:v>NE</x:v>
      </x:c>
      <x:c r="C79" s="10" t="str">
        <x:v>UAFL (United Africa Feeder Line)</x:v>
      </x:c>
      <x:c r="D79" s="10" t="str">
        <x:v>Émirats arabes unis</x:v>
      </x:c>
      <x:c r="E79" s="10" t="str">
        <x:v>Régional / feeder</x:v>
      </x:c>
      <x:c r="F79" s="10" t="str">
        <x:v>Océan Indien; Afrique de l’Est; Inde; Moyen-Orient</x:v>
      </x:c>
      <x:c r="G79" s="10" t="str"/>
      <x:c r="H79" s="10" t="str">
        <x:v>uaflshipping.com</x:v>
      </x:c>
      <x:c r="I79" s="10" t="str">
        <x:v>Océan Indien; Afrique de l’Est; Inde; Moyen-Orient</x:v>
      </x:c>
      <x:c r="J79" s="10" t="n">
        <x:f>COUNTIF('Navires détaillés'!$A$2:$A$229,C79)</x:f>
        <x:v>0</x:v>
      </x:c>
      <x:c r="K79" s="10" t="str">
        <x:f>IF(J79&gt;0,"OUI","NON")</x:f>
        <x:v>NON</x:v>
      </x:c>
      <x:c r="L79" s="10" t="n">
        <x:f>COUNTIFS('Navires détaillés'!$A$2:$A$229,C79,'Navires détaillés'!$L$2:$L$229,"A1")+COUNTIFS('Navires détaillés'!$A$2:$A$229,C79,'Navires détaillés'!$L$2:$L$229,"A2")</x:f>
        <x:v>0</x:v>
      </x:c>
      <x:c r="M79" s="39" t="str">
        <x:v>Conteneur + multipurpose</x:v>
      </x:c>
    </x:row>
    <x:row r="80">
      <x:c r="A80" s="10" t="n">
        <x:v>79</x:v>
      </x:c>
      <x:c r="B80" s="10" t="str">
        <x:v>NE</x:v>
      </x:c>
      <x:c r="C80" s="10" t="str">
        <x:v>ASYAD Line</x:v>
      </x:c>
      <x:c r="D80" s="10" t="str">
        <x:v>Oman</x:v>
      </x:c>
      <x:c r="E80" s="10" t="str">
        <x:v>Régional</x:v>
      </x:c>
      <x:c r="F80" s="10" t="str">
        <x:v>Oman; Golfe; Inde; Asie; Afrique de l’Est</x:v>
      </x:c>
      <x:c r="G80" s="10" t="str"/>
      <x:c r="H80" s="10" t="str">
        <x:v>asyadline.com</x:v>
      </x:c>
      <x:c r="I80" s="10" t="str">
        <x:v>Routes directes GCC, Inde, Asie du Sud-Est, mer Rouge</x:v>
      </x:c>
      <x:c r="J80" s="10" t="n">
        <x:f>COUNTIF('Navires détaillés'!$A$2:$A$229,C80)</x:f>
        <x:v>0</x:v>
      </x:c>
      <x:c r="K80" s="10" t="str">
        <x:f>IF(J80&gt;0,"OUI","NON")</x:f>
        <x:v>NON</x:v>
      </x:c>
      <x:c r="L80" s="10" t="n">
        <x:f>COUNTIFS('Navires détaillés'!$A$2:$A$229,C80,'Navires détaillés'!$L$2:$L$229,"A1")+COUNTIFS('Navires détaillés'!$A$2:$A$229,C80,'Navires détaillés'!$L$2:$L$229,"A2")</x:f>
        <x:v>0</x:v>
      </x:c>
      <x:c r="M80" s="39" t="str">
        <x:v>Lignes conteneurisées et logistique</x:v>
      </x:c>
    </x:row>
    <x:row r="81">
      <x:c r="A81" s="10" t="n">
        <x:v>80</x:v>
      </x:c>
      <x:c r="B81" s="10" t="str">
        <x:v>NE</x:v>
      </x:c>
      <x:c r="C81" s="10" t="str">
        <x:v>Ethiopian Shipping &amp; Logistics</x:v>
      </x:c>
      <x:c r="D81" s="10" t="str">
        <x:v>Éthiopie</x:v>
      </x:c>
      <x:c r="E81" s="10" t="str">
        <x:v>Régional / national</x:v>
      </x:c>
      <x:c r="F81" s="10" t="str">
        <x:v>Djibouti; Mer Rouge; connexions internationales</x:v>
      </x:c>
      <x:c r="G81" s="10" t="str"/>
      <x:c r="H81" s="10" t="str">
        <x:v>eslse.et</x:v>
      </x:c>
      <x:c r="I81" s="10" t="str">
        <x:v>Djibouti; Mer Rouge; connexions internationales</x:v>
      </x:c>
      <x:c r="J81" s="10" t="n">
        <x:f>COUNTIF('Navires détaillés'!$A$2:$A$229,C81)</x:f>
        <x:v>0</x:v>
      </x:c>
      <x:c r="K81" s="10" t="str">
        <x:f>IF(J81&gt;0,"OUI","NON")</x:f>
        <x:v>NON</x:v>
      </x:c>
      <x:c r="L81" s="10" t="n">
        <x:f>COUNTIFS('Navires détaillés'!$A$2:$A$229,C81,'Navires détaillés'!$L$2:$L$229,"A1")+COUNTIFS('Navires détaillés'!$A$2:$A$229,C81,'Navires détaillés'!$L$2:$L$229,"A2")</x:f>
        <x:v>0</x:v>
      </x:c>
      <x:c r="M81" s="39" t="str">
        <x:v>Flotte mixte, incluant services conteneurisés</x:v>
      </x:c>
    </x:row>
    <x:row r="82">
      <x:c r="A82" s="10" t="n">
        <x:v>81</x:v>
      </x:c>
      <x:c r="B82" s="10" t="str">
        <x:v>NE</x:v>
      </x:c>
      <x:c r="C82" s="10" t="str">
        <x:v>Bermuda Container Line</x:v>
      </x:c>
      <x:c r="D82" s="10" t="str">
        <x:v>Bermudes</x:v>
      </x:c>
      <x:c r="E82" s="10" t="str">
        <x:v>Niche</x:v>
      </x:c>
      <x:c r="F82" s="10" t="str">
        <x:v>États-Unis - Bermudes</x:v>
      </x:c>
      <x:c r="G82" s="10" t="str"/>
      <x:c r="H82" s="10" t="str">
        <x:v>bcl.bm</x:v>
      </x:c>
      <x:c r="I82" s="10" t="str">
        <x:v>États-Unis - Bermudes</x:v>
      </x:c>
      <x:c r="J82" s="10" t="n">
        <x:f>COUNTIF('Navires détaillés'!$A$2:$A$229,C82)</x:f>
        <x:v>0</x:v>
      </x:c>
      <x:c r="K82" s="10" t="str">
        <x:f>IF(J82&gt;0,"OUI","NON")</x:f>
        <x:v>NON</x:v>
      </x:c>
      <x:c r="L82" s="10" t="n">
        <x:f>COUNTIFS('Navires détaillés'!$A$2:$A$229,C82,'Navires détaillés'!$L$2:$L$229,"A1")+COUNTIFS('Navires détaillés'!$A$2:$A$229,C82,'Navires détaillés'!$L$2:$L$229,"A2")</x:f>
        <x:v>0</x:v>
      </x:c>
      <x:c r="M82" s="39" t="str">
        <x:v>Ligne insulaire conteneurisée</x:v>
      </x:c>
    </x:row>
    <x:row r="83">
      <x:c r="A83" s="10" t="n">
        <x:v>82</x:v>
      </x:c>
      <x:c r="B83" s="10" t="str">
        <x:v>EU-A</x:v>
      </x:c>
      <x:c r="C83" s="10" t="str">
        <x:v>StreamLines</x:v>
      </x:c>
      <x:c r="D83" s="10" t="str">
        <x:v>Pays-Bas</x:v>
      </x:c>
      <x:c r="E83" s="10" t="str">
        <x:v>Niche reefer / conteneur</x:v>
      </x:c>
      <x:c r="F83" s="10" t="str">
        <x:v>Europe; Caraïbes; Amériques</x:v>
      </x:c>
      <x:c r="G83" s="10" t="str"/>
      <x:c r="H83" s="10" t="str">
        <x:v>streamlinesnv.com</x:v>
      </x:c>
      <x:c r="I83" s="10" t="str">
        <x:v>Europe-Caraïbes / Amériques</x:v>
      </x:c>
      <x:c r="J83" s="10" t="n">
        <x:f>COUNTIF('Navires détaillés'!$A$2:$A$229,C83)</x:f>
        <x:v>0</x:v>
      </x:c>
      <x:c r="K83" s="10" t="str">
        <x:f>IF(J83&gt;0,"OUI","NON")</x:f>
        <x:v>NON</x:v>
      </x:c>
      <x:c r="L83" s="10" t="n">
        <x:f>COUNTIFS('Navires détaillés'!$A$2:$A$229,C83,'Navires détaillés'!$L$2:$L$229,"A1")+COUNTIFS('Navires détaillés'!$A$2:$A$229,C83,'Navires détaillés'!$L$2:$L$229,"A2")</x:f>
        <x:v>0</x:v>
      </x:c>
      <x:c r="M83" s="39" t="str">
        <x:v>Services conteneurisés spécialisés</x:v>
      </x:c>
    </x:row>
    <x:row r="84">
      <x:c r="A84" s="10" t="n">
        <x:v>83</x:v>
      </x:c>
      <x:c r="B84" s="10" t="str">
        <x:v>NE</x:v>
      </x:c>
      <x:c r="C84" s="10" t="str">
        <x:v>Trailer Bridge</x:v>
      </x:c>
      <x:c r="D84" s="10" t="str">
        <x:v>États-Unis</x:v>
      </x:c>
      <x:c r="E84" s="10" t="str">
        <x:v>Régional</x:v>
      </x:c>
      <x:c r="F84" s="10" t="str">
        <x:v>États-Unis - Porto Rico; Caraïbes</x:v>
      </x:c>
      <x:c r="G84" s="10" t="str"/>
      <x:c r="H84" s="10" t="str">
        <x:v>trailerbridge.com</x:v>
      </x:c>
      <x:c r="I84" s="10" t="str">
        <x:v>États-Unis - Porto Rico; Caraïbes</x:v>
      </x:c>
      <x:c r="J84" s="10" t="n">
        <x:f>COUNTIF('Navires détaillés'!$A$2:$A$229,C84)</x:f>
        <x:v>0</x:v>
      </x:c>
      <x:c r="K84" s="10" t="str">
        <x:f>IF(J84&gt;0,"OUI","NON")</x:f>
        <x:v>NON</x:v>
      </x:c>
      <x:c r="L84" s="10" t="n">
        <x:f>COUNTIFS('Navires détaillés'!$A$2:$A$229,C84,'Navires détaillés'!$L$2:$L$229,"A1")+COUNTIFS('Navires détaillés'!$A$2:$A$229,C84,'Navires détaillés'!$L$2:$L$229,"A2")</x:f>
        <x:v>0</x:v>
      </x:c>
      <x:c r="M84" s="39" t="str">
        <x:v>Conteneur / RoRo domestique et régional</x:v>
      </x:c>
    </x:row>
    <x:row r="85">
      <x:c r="A85" s="10" t="n">
        <x:v>84</x:v>
      </x:c>
      <x:c r="B85" s="10" t="str">
        <x:v>NE</x:v>
      </x:c>
      <x:c r="C85" s="10" t="str">
        <x:v>Carpenters Shipping</x:v>
      </x:c>
      <x:c r="D85" s="10" t="str">
        <x:v>Fidji</x:v>
      </x:c>
      <x:c r="E85" s="10" t="str">
        <x:v>Régional</x:v>
      </x:c>
      <x:c r="F85" s="10" t="str">
        <x:v>Pacifique Sud; îles du Pacifique</x:v>
      </x:c>
      <x:c r="G85" s="10" t="str"/>
      <x:c r="H85" s="10" t="str">
        <x:v>carpentersshipping.com</x:v>
      </x:c>
      <x:c r="I85" s="10" t="str">
        <x:v>Pacifique Sud; îles du Pacifique</x:v>
      </x:c>
      <x:c r="J85" s="10" t="n">
        <x:f>COUNTIF('Navires détaillés'!$A$2:$A$229,C85)</x:f>
        <x:v>0</x:v>
      </x:c>
      <x:c r="K85" s="10" t="str">
        <x:f>IF(J85&gt;0,"OUI","NON")</x:f>
        <x:v>NON</x:v>
      </x:c>
      <x:c r="L85" s="10" t="n">
        <x:f>COUNTIFS('Navires détaillés'!$A$2:$A$229,C85,'Navires détaillés'!$L$2:$L$229,"A1")+COUNTIFS('Navires détaillés'!$A$2:$A$229,C85,'Navires détaillés'!$L$2:$L$229,"A2")</x:f>
        <x:v>0</x:v>
      </x:c>
      <x:c r="M85" s="39" t="str">
        <x:v>Liaisons conteneurisées insulaires</x:v>
      </x:c>
    </x:row>
    <x:row r="86">
      <x:c r="A86" s="10" t="n">
        <x:v>85</x:v>
      </x:c>
      <x:c r="B86" s="10" t="str">
        <x:v>NE</x:v>
      </x:c>
      <x:c r="C86" s="10" t="str">
        <x:v>Polynesia Line</x:v>
      </x:c>
      <x:c r="D86" s="10" t="str">
        <x:v>Nouvelle-Zélande / Pacifique</x:v>
      </x:c>
      <x:c r="E86" s="10" t="str">
        <x:v>Régional</x:v>
      </x:c>
      <x:c r="F86" s="10" t="str">
        <x:v>Nouvelle-Zélande; îles du Pacifique</x:v>
      </x:c>
      <x:c r="G86" s="10" t="str"/>
      <x:c r="H86" s="10" t="str">
        <x:v>polynesialine.com</x:v>
      </x:c>
      <x:c r="I86" s="10" t="str">
        <x:v>Nouvelle-Zélande; îles du Pacifique</x:v>
      </x:c>
      <x:c r="J86" s="10" t="n">
        <x:f>COUNTIF('Navires détaillés'!$A$2:$A$229,C86)</x:f>
        <x:v>0</x:v>
      </x:c>
      <x:c r="K86" s="10" t="str">
        <x:f>IF(J86&gt;0,"OUI","NON")</x:f>
        <x:v>NON</x:v>
      </x:c>
      <x:c r="L86" s="10" t="n">
        <x:f>COUNTIFS('Navires détaillés'!$A$2:$A$229,C86,'Navires détaillés'!$L$2:$L$229,"A1")+COUNTIFS('Navires détaillés'!$A$2:$A$229,C86,'Navires détaillés'!$L$2:$L$229,"A2")</x:f>
        <x:v>0</x:v>
      </x:c>
      <x:c r="M86" s="39" t="str">
        <x:v>Ligne conteneur Pacifique</x:v>
      </x:c>
    </x:row>
    <x:row r="87">
      <x:c r="A87" s="10" t="n">
        <x:v>86</x:v>
      </x:c>
      <x:c r="B87" s="10" t="str">
        <x:v>NE</x:v>
      </x:c>
      <x:c r="C87" s="10" t="str">
        <x:v>Trans Asia Shipping Lines</x:v>
      </x:c>
      <x:c r="D87" s="10" t="str">
        <x:v>Philippines</x:v>
      </x:c>
      <x:c r="E87" s="10" t="str">
        <x:v>Domestique / régional</x:v>
      </x:c>
      <x:c r="F87" s="10" t="str">
        <x:v>Philippines; liaisons régionales</x:v>
      </x:c>
      <x:c r="G87" s="10" t="str"/>
      <x:c r="H87" s="10" t="str">
        <x:v>transasiashipping.com</x:v>
      </x:c>
      <x:c r="I87" s="10" t="str">
        <x:v>Philippines; liaisons régionales</x:v>
      </x:c>
      <x:c r="J87" s="10" t="n">
        <x:f>COUNTIF('Navires détaillés'!$A$2:$A$229,C87)</x:f>
        <x:v>0</x:v>
      </x:c>
      <x:c r="K87" s="10" t="str">
        <x:f>IF(J87&gt;0,"OUI","NON")</x:f>
        <x:v>NON</x:v>
      </x:c>
      <x:c r="L87" s="10" t="n">
        <x:f>COUNTIFS('Navires détaillés'!$A$2:$A$229,C87,'Navires détaillés'!$L$2:$L$229,"A1")+COUNTIFS('Navires détaillés'!$A$2:$A$229,C87,'Navires détaillés'!$L$2:$L$229,"A2")</x:f>
        <x:v>0</x:v>
      </x:c>
      <x:c r="M87" s="39" t="str">
        <x:v>Services conteneurisés domestiques</x:v>
      </x:c>
    </x:row>
    <x:row r="88">
      <x:c r="A88" s="10" t="n">
        <x:v>87</x:v>
      </x:c>
      <x:c r="B88" s="10" t="str">
        <x:v>EU-B</x:v>
      </x:c>
      <x:c r="C88" s="10" t="str">
        <x:v>Shipping Corporation of India (SCI)</x:v>
      </x:c>
      <x:c r="D88" s="10" t="str">
        <x:v>Inde</x:v>
      </x:c>
      <x:c r="E88" s="10" t="str">
        <x:v>Mixte / régional</x:v>
      </x:c>
      <x:c r="F88" s="10" t="str">
        <x:v>Inde; Moyen-Orient; services internationaux sélectifs</x:v>
      </x:c>
      <x:c r="G88" s="10" t="str"/>
      <x:c r="H88" s="10" t="str">
        <x:v>shipindia.com</x:v>
      </x:c>
      <x:c r="I88" s="10" t="str">
        <x:v>Inde-Europe via IPAK / slots-partage</x:v>
      </x:c>
      <x:c r="J88" s="10" t="n">
        <x:f>COUNTIF('Navires détaillés'!$A$2:$A$229,C88)</x:f>
        <x:v>1</x:v>
      </x:c>
      <x:c r="K88" s="10" t="str">
        <x:f>IF(J88&gt;0,"OUI","NON")</x:f>
        <x:v>OUI</x:v>
      </x:c>
      <x:c r="L88" s="10" t="n">
        <x:f>COUNTIFS('Navires détaillés'!$A$2:$A$229,C88,'Navires détaillés'!$L$2:$L$229,"A1")+COUNTIFS('Navires détaillés'!$A$2:$A$229,C88,'Navires détaillés'!$L$2:$L$229,"A2")</x:f>
        <x:v>1</x:v>
      </x:c>
      <x:c r="M88" s="39" t="str">
        <x:v>Flotte mixte avec activité conteneur</x:v>
      </x:c>
    </x:row>
    <x:row r="89">
      <x:c r="A89" s="10" t="n">
        <x:v>88</x:v>
      </x:c>
      <x:c r="B89" s="10" t="str">
        <x:v>EU-A</x:v>
      </x:c>
      <x:c r="C89" s="10" t="str">
        <x:v>Samskip</x:v>
      </x:c>
      <x:c r="D89" s="10" t="str">
        <x:v>Pays-Bas</x:v>
      </x:c>
      <x:c r="E89" s="10" t="str">
        <x:v>Short-sea / multimodal</x:v>
      </x:c>
      <x:c r="F89" s="10" t="str">
        <x:v>Europe du Nord; Atlantique Nord</x:v>
      </x:c>
      <x:c r="G89" s="10" t="str"/>
      <x:c r="H89" s="10" t="str">
        <x:v>samskip.com</x:v>
      </x:c>
      <x:c r="I89" s="10" t="str">
        <x:v>Short-sea Europe du Nord</x:v>
      </x:c>
      <x:c r="J89" s="10" t="n">
        <x:f>COUNTIF('Navires détaillés'!$A$2:$A$229,C89)</x:f>
        <x:v>0</x:v>
      </x:c>
      <x:c r="K89" s="10" t="str">
        <x:f>IF(J89&gt;0,"OUI","NON")</x:f>
        <x:v>NON</x:v>
      </x:c>
      <x:c r="L89" s="10" t="n">
        <x:f>COUNTIFS('Navires détaillés'!$A$2:$A$229,C89,'Navires détaillés'!$L$2:$L$229,"A1")+COUNTIFS('Navires détaillés'!$A$2:$A$229,C89,'Navires détaillés'!$L$2:$L$229,"A2")</x:f>
        <x:v>0</x:v>
      </x:c>
      <x:c r="M89" s="39" t="str">
        <x:v>Services conteneurisés / multimodaux; périmètre 2026 en évolution</x:v>
      </x:c>
    </x:row>
    <x:row r="90">
      <x:c r="A90" s="10" t="n">
        <x:v>89</x:v>
      </x:c>
      <x:c r="B90" s="10" t="str">
        <x:v>EU-A</x:v>
      </x:c>
      <x:c r="C90" s="10" t="str">
        <x:v>CLdN</x:v>
      </x:c>
      <x:c r="D90" s="10" t="str">
        <x:v>Luxembourg</x:v>
      </x:c>
      <x:c r="E90" s="10" t="str">
        <x:v>Mixte / short-sea</x:v>
      </x:c>
      <x:c r="F90" s="10" t="str">
        <x:v>Europe du Nord; Benelux - Royaume-Uni / Irlande</x:v>
      </x:c>
      <x:c r="G90" s="10" t="str"/>
      <x:c r="H90" s="10" t="str">
        <x:v>cldn.com</x:v>
      </x:c>
      <x:c r="I90" s="10" t="str">
        <x:v>Benelux-UK-Irlande / Europe du Nord</x:v>
      </x:c>
      <x:c r="J90" s="10" t="n">
        <x:f>COUNTIF('Navires détaillés'!$A$2:$A$229,C90)</x:f>
        <x:v>0</x:v>
      </x:c>
      <x:c r="K90" s="10" t="str">
        <x:f>IF(J90&gt;0,"OUI","NON")</x:f>
        <x:v>NON</x:v>
      </x:c>
      <x:c r="L90" s="10" t="n">
        <x:f>COUNTIFS('Navires détaillés'!$A$2:$A$229,C90,'Navires détaillés'!$L$2:$L$229,"A1")+COUNTIFS('Navires détaillés'!$A$2:$A$229,C90,'Navires détaillés'!$L$2:$L$229,"A2")</x:f>
        <x:v>0</x:v>
      </x:c>
      <x:c r="M90" s="39" t="str">
        <x:v>RoRo + services LoLo conteneurisés</x:v>
      </x:c>
    </x:row>
  </x:sheetData>
  <x:mergeCells>
    <x:mergeCell ref="O1:R4"/>
  </x:mergeCells>
  <x:conditionalFormatting sqref="B2:B90">
    <x:cfRule type="expression" dxfId="9" priority="1">
      <x:formula>B2="EU-A"</x:formula>
    </x:cfRule>
    <x:cfRule type="expression" dxfId="10" priority="2">
      <x:formula>B2="EU-B"</x:formula>
    </x:cfRule>
    <x:cfRule type="expression" dxfId="11" priority="3">
      <x:formula>B2="NE"</x:formula>
    </x:cfRule>
  </x:conditionalFormatting>
  <x:conditionalFormatting sqref="J2:J90">
    <x:cfRule type="dataBar" priority="4">
      <x:dataBar>
        <x:cfvo type="min"/>
        <x:cfvo type="max"/>
        <x:color rgb="FFA02B93"/>
      </x:dataBar>
      <x:extLst>
        <x:ext xmlns:x14="http://schemas.microsoft.com/office/spreadsheetml/2009/9/main" uri="{B025F937-C7B1-47D3-B67F-A62EFF666E3E}">
          <x14:id>{63BF54FB-C291-1BC4-603D-A8B40D16E827}</x14:id>
        </x:ext>
      </x:extLst>
    </x:cfRule>
  </x:conditionalFormatting>
  <x:conditionalFormatting sqref="K2:K90">
    <x:cfRule type="expression" dxfId="12" priority="5">
      <x:formula>K2="OUI"</x:formula>
    </x:cfRule>
    <x:cfRule type="expression" dxfId="13" priority="6">
      <x:formula>K2="NON"</x:formula>
    </x:cfRule>
  </x:conditionalFormatting>
  <x:pageMargins left="0.7" right="0.7" top="0.75" bottom="0.75" header="0.3" footer="0.3"/>
  <x:tableParts count="1">
    <x:tablePart xmlns:r="http://schemas.openxmlformats.org/officeDocument/2006/relationships" r:id="Rea5f834b2df04ed3"/>
  </x:tableParts>
  <x:extLst>
    <x:ext xmlns:x14="http://schemas.microsoft.com/office/spreadsheetml/2009/9/main" xmlns:xm="http://schemas.microsoft.com/office/excel/2006/main" uri="{78C0D931-6437-407d-A8EE-F0AAD7539E65}">
      <x14:conditionalFormattings>
        <x14:conditionalFormatting>
          <x14:cfRule type="dataBar" priority="4" id="{63BF54FB-C291-1BC4-603D-A8B40D16E827}">
            <x14:dataBar gradient="1">
              <x14:cfvo type="min"/>
              <x14:cfvo type="max"/>
              <x14:fillColor rgb="FFA02B93"/>
            </x14:dataBar>
          </x14:cfRule>
          <xm:sqref>J2:J90</xm:sqref>
        </x14:conditionalFormatting>
      </x14:conditionalFormattings>
    </x:ext>
  </x:extLst>
</x:worksheet>
</file>

<file path=xl/worksheets/sheet3.xml><?xml version="1.0" encoding="utf-8"?>
<x:worksheet xmlns:x="http://schemas.openxmlformats.org/spreadsheetml/2006/main">
  <x:sheetFormatPr defaultRowHeight="15"/>
  <x:cols>
    <x:col min="1" max="1" width="31" hidden="0" customWidth="1"/>
    <x:col min="2" max="2" width="19" hidden="0" customWidth="1"/>
    <x:col min="3" max="3" width="13" hidden="0" customWidth="1"/>
    <x:col min="4" max="4" width="24" hidden="0" customWidth="1"/>
    <x:col min="5" max="5" width="28" hidden="0" customWidth="1"/>
    <x:col min="6" max="6" width="25" hidden="0" customWidth="1"/>
    <x:col min="7" max="7" width="12" hidden="0" customWidth="1"/>
    <x:col min="8" max="8" width="19" hidden="0" customWidth="1"/>
    <x:col min="9" max="9" width="10" hidden="0" customWidth="1"/>
    <x:col min="10" max="10" width="24" hidden="0" customWidth="1"/>
    <x:col min="11" max="11" width="20" hidden="0" customWidth="1"/>
    <x:col min="12" max="12" width="16" hidden="0" customWidth="1"/>
    <x:col min="13" max="13" width="48" hidden="0" customWidth="1"/>
    <x:col min="14" max="14" width="44" hidden="0" customWidth="1"/>
  </x:cols>
  <x:sheetData>
    <x:row r="1">
      <x:c r="A1" s="5" t="str">
        <x:v>Rattachement référentiel</x:v>
      </x:c>
      <x:c r="B1" s="5" t="str">
        <x:v>Type rattachement</x:v>
      </x:c>
      <x:c r="C1" s="5" t="str">
        <x:v>Statut Europe</x:v>
      </x:c>
      <x:c r="D1" s="5" t="str">
        <x:v>Groupe source navires</x:v>
      </x:c>
      <x:c r="E1" s="5" t="str">
        <x:v>Compagnie / marque / service</x:v>
      </x:c>
      <x:c r="F1" s="5" t="str">
        <x:v>Navire</x:v>
      </x:c>
      <x:c r="G1" s="5" t="str">
        <x:v>IMO</x:v>
      </x:c>
      <x:c r="H1" s="5" t="str">
        <x:v>Date d'escale / preuve</x:v>
      </x:c>
      <x:c r="I1" s="5" t="str">
        <x:v>Année</x:v>
      </x:c>
      <x:c r="J1" s="5" t="str">
        <x:v>Service / rotation</x:v>
      </x:c>
      <x:c r="K1" s="5" t="str">
        <x:v>Terminal / zone</x:v>
      </x:c>
      <x:c r="L1" s="5" t="str">
        <x:v>Niveau de preuve</x:v>
      </x:c>
      <x:c r="M1" s="5" t="str">
        <x:v>Source URL</x:v>
      </x:c>
      <x:c r="N1" s="5" t="str">
        <x:v>Notes</x:v>
      </x:c>
    </x:row>
    <x:row r="2">
      <x:c r="A2" s="10" t="str">
        <x:v>CMA CGM Group</x:v>
      </x:c>
      <x:c r="B2" s="10" t="str">
        <x:v>Référentiel V4</x:v>
      </x:c>
      <x:c r="C2" s="10" t="str">
        <x:v>EU-A</x:v>
      </x:c>
      <x:c r="D2" s="10" t="str">
        <x:v>CMA CGM Group</x:v>
      </x:c>
      <x:c r="E2" s="10" t="str">
        <x:v>APL</x:v>
      </x:c>
      <x:c r="F2" s="10" t="str">
        <x:v>APL BOSTON</x:v>
      </x:c>
      <x:c r="G2" s="10" t="str"/>
      <x:c r="H2" s="10" t="str">
        <x:v>2023-09-26</x:v>
      </x:c>
      <x:c r="I2" s="10" t="n">
        <x:v>2023</x:v>
      </x:c>
      <x:c r="J2" s="10" t="str">
        <x:v>NEWMO</x:v>
      </x:c>
      <x:c r="K2" s="10" t="str">
        <x:v>Le Havre</x:v>
      </x:c>
      <x:c r="L2" s="10" t="str">
        <x:v>B1</x:v>
      </x:c>
      <x:c r="M2" s="10" t="str">
        <x:v>https://www.cma-cgm.com/ebusiness/schedules/voyage/detail?voyageReference=0NNGXE1MA</x:v>
      </x:c>
      <x:c r="N2" s="10" t="str">
        <x:v>Voyage historique CMA CGM/APL.</x:v>
      </x:c>
    </x:row>
    <x:row r="3">
      <x:c r="A3" s="10" t="str">
        <x:v>CMA CGM Group</x:v>
      </x:c>
      <x:c r="B3" s="10" t="str">
        <x:v>Référentiel V4</x:v>
      </x:c>
      <x:c r="C3" s="10" t="str">
        <x:v>EU-A</x:v>
      </x:c>
      <x:c r="D3" s="10" t="str">
        <x:v>CMA CGM Group</x:v>
      </x:c>
      <x:c r="E3" s="10" t="str">
        <x:v>APL</x:v>
      </x:c>
      <x:c r="F3" s="10" t="str">
        <x:v>APL CHANGI</x:v>
      </x:c>
      <x:c r="G3" s="10" t="str"/>
      <x:c r="H3" s="10" t="str">
        <x:v>2024-03-05</x:v>
      </x:c>
      <x:c r="I3" s="10" t="n">
        <x:v>2024</x:v>
      </x:c>
      <x:c r="J3" s="10" t="str">
        <x:v>FAL1</x:v>
      </x:c>
      <x:c r="K3" s="10" t="str">
        <x:v>Terminal de France</x:v>
      </x:c>
      <x:c r="L3" s="10" t="str">
        <x:v>B1</x:v>
      </x:c>
      <x:c r="M3" s="10" t="str">
        <x:v>https://www.cma-cgm.com/ebusiness/schedules/voyage/detail?voyageReference=0FLGSE1MA</x:v>
      </x:c>
      <x:c r="N3" s="10" t="str">
        <x:v>Voyage historique CMA CGM/APL.</x:v>
      </x:c>
    </x:row>
    <x:row r="4">
      <x:c r="A4" s="10" t="str">
        <x:v>CMA CGM Group</x:v>
      </x:c>
      <x:c r="B4" s="10" t="str">
        <x:v>Référentiel V4</x:v>
      </x:c>
      <x:c r="C4" s="10" t="str">
        <x:v>EU-A</x:v>
      </x:c>
      <x:c r="D4" s="10" t="str">
        <x:v>CMA CGM Group</x:v>
      </x:c>
      <x:c r="E4" s="10" t="str">
        <x:v>APL</x:v>
      </x:c>
      <x:c r="F4" s="10" t="str">
        <x:v>APL FULLERTON</x:v>
      </x:c>
      <x:c r="G4" s="10" t="str"/>
      <x:c r="H4" s="10" t="str">
        <x:v>2024-01-25</x:v>
      </x:c>
      <x:c r="I4" s="10" t="n">
        <x:v>2024</x:v>
      </x:c>
      <x:c r="J4" s="10" t="str">
        <x:v>FAL1</x:v>
      </x:c>
      <x:c r="K4" s="10" t="str">
        <x:v>Terminal de France</x:v>
      </x:c>
      <x:c r="L4" s="10" t="str">
        <x:v>B1</x:v>
      </x:c>
      <x:c r="M4" s="10" t="str">
        <x:v>https://www.cma-cgm.com/ebusiness/schedules/voyage/detail?voyageReference=0FLGKE1MA</x:v>
      </x:c>
      <x:c r="N4" s="10" t="str">
        <x:v>Voyage historique CMA CGM/APL.</x:v>
      </x:c>
    </x:row>
    <x:row r="5">
      <x:c r="A5" s="10" t="str">
        <x:v>CMA CGM Group</x:v>
      </x:c>
      <x:c r="B5" s="10" t="str">
        <x:v>Référentiel V4</x:v>
      </x:c>
      <x:c r="C5" s="10" t="str">
        <x:v>EU-A</x:v>
      </x:c>
      <x:c r="D5" s="10" t="str">
        <x:v>CMA CGM Group</x:v>
      </x:c>
      <x:c r="E5" s="10" t="str">
        <x:v>APL</x:v>
      </x:c>
      <x:c r="F5" s="10" t="str">
        <x:v>APL LE HAVRE</x:v>
      </x:c>
      <x:c r="G5" s="10" t="str">
        <x:v>9461881</x:v>
      </x:c>
      <x:c r="H5" s="10" t="str">
        <x:v>2025-06-11</x:v>
      </x:c>
      <x:c r="I5" s="10" t="n">
        <x:v>2025</x:v>
      </x:c>
      <x:c r="J5" s="10" t="str">
        <x:v>Liberty / transatlantique</x:v>
      </x:c>
      <x:c r="K5" s="10" t="str">
        <x:v>Le Havre</x:v>
      </x:c>
      <x:c r="L5" s="10" t="str">
        <x:v>C</x:v>
      </x:c>
      <x:c r="M5" s="10" t="str">
        <x:v>https://www.marine-marchande.net/Jourlejour4/AujourleJour-550.html</x:v>
      </x:c>
      <x:c r="N5" s="10" t="str">
        <x:v>Observation portuaire datée.</x:v>
      </x:c>
    </x:row>
    <x:row r="6">
      <x:c r="A6" s="10" t="str">
        <x:v>CMA CGM Group</x:v>
      </x:c>
      <x:c r="B6" s="10" t="str">
        <x:v>Référentiel V4</x:v>
      </x:c>
      <x:c r="C6" s="10" t="str">
        <x:v>EU-A</x:v>
      </x:c>
      <x:c r="D6" s="10" t="str">
        <x:v>CMA CGM Group</x:v>
      </x:c>
      <x:c r="E6" s="10" t="str">
        <x:v>APL</x:v>
      </x:c>
      <x:c r="F6" s="10" t="str">
        <x:v>APL LION CITY</x:v>
      </x:c>
      <x:c r="G6" s="10" t="str"/>
      <x:c r="H6" s="10" t="str">
        <x:v>2024-06-04</x:v>
      </x:c>
      <x:c r="I6" s="10" t="n">
        <x:v>2024</x:v>
      </x:c>
      <x:c r="J6" s="10" t="str">
        <x:v>FAL3</x:v>
      </x:c>
      <x:c r="K6" s="10" t="str">
        <x:v>Terminal de France</x:v>
      </x:c>
      <x:c r="L6" s="10" t="str">
        <x:v>B1</x:v>
      </x:c>
      <x:c r="M6" s="10" t="str">
        <x:v>https://www.cma-cgm.com/ebusiness/schedules/voyage/detail?voyageReference=0FMFGE1MA</x:v>
      </x:c>
      <x:c r="N6" s="10" t="str">
        <x:v>Voyage officiel : arrivée au Havre le 04/06/2024.</x:v>
      </x:c>
    </x:row>
    <x:row r="7">
      <x:c r="A7" s="10" t="str">
        <x:v>CMA CGM Group</x:v>
      </x:c>
      <x:c r="B7" s="10" t="str">
        <x:v>Référentiel V4</x:v>
      </x:c>
      <x:c r="C7" s="10" t="str">
        <x:v>EU-A</x:v>
      </x:c>
      <x:c r="D7" s="10" t="str">
        <x:v>CMA CGM Group</x:v>
      </x:c>
      <x:c r="E7" s="10" t="str">
        <x:v>APL</x:v>
      </x:c>
      <x:c r="F7" s="10" t="str">
        <x:v>APL MERLION</x:v>
      </x:c>
      <x:c r="G7" s="10" t="str"/>
      <x:c r="H7" s="10" t="str">
        <x:v>2024-03-16</x:v>
      </x:c>
      <x:c r="I7" s="10" t="n">
        <x:v>2024</x:v>
      </x:c>
      <x:c r="J7" s="10" t="str">
        <x:v>FAL1</x:v>
      </x:c>
      <x:c r="K7" s="10" t="str">
        <x:v>Terminal de France</x:v>
      </x:c>
      <x:c r="L7" s="10" t="str">
        <x:v>B1</x:v>
      </x:c>
      <x:c r="M7" s="10" t="str">
        <x:v>https://www.cma-cgm.com/ebusiness/schedules/voyage/detail?voyageReference=0FLH6E1MA</x:v>
      </x:c>
      <x:c r="N7" s="10" t="str">
        <x:v>Voyage historique CMA CGM/APL.</x:v>
      </x:c>
    </x:row>
    <x:row r="8">
      <x:c r="A8" s="10" t="str">
        <x:v>CMA CGM Group</x:v>
      </x:c>
      <x:c r="B8" s="10" t="str">
        <x:v>Référentiel V4</x:v>
      </x:c>
      <x:c r="C8" s="10" t="str">
        <x:v>EU-A</x:v>
      </x:c>
      <x:c r="D8" s="10" t="str">
        <x:v>CMA CGM Group</x:v>
      </x:c>
      <x:c r="E8" s="10" t="str">
        <x:v>APL</x:v>
      </x:c>
      <x:c r="F8" s="10" t="str">
        <x:v>APL NEW YORK</x:v>
      </x:c>
      <x:c r="G8" s="10" t="str"/>
      <x:c r="H8" s="10" t="str">
        <x:v>2024-02-27</x:v>
      </x:c>
      <x:c r="I8" s="10" t="n">
        <x:v>2024</x:v>
      </x:c>
      <x:c r="J8" s="10" t="str">
        <x:v>Service APL/CMA CGM</x:v>
      </x:c>
      <x:c r="K8" s="10" t="str">
        <x:v>Port 2000</x:v>
      </x:c>
      <x:c r="L8" s="10" t="str">
        <x:v>C</x:v>
      </x:c>
      <x:c r="M8" s="10" t="str">
        <x:v>https://www.marine-marchande.net/Jourlejour4/AujourleJour-534.html</x:v>
      </x:c>
      <x:c r="N8" s="10" t="str">
        <x:v>Arrivée d'Anvers documentée.</x:v>
      </x:c>
    </x:row>
    <x:row r="9">
      <x:c r="A9" s="10" t="str">
        <x:v>CMA CGM Group</x:v>
      </x:c>
      <x:c r="B9" s="10" t="str">
        <x:v>Référentiel V4</x:v>
      </x:c>
      <x:c r="C9" s="10" t="str">
        <x:v>EU-A</x:v>
      </x:c>
      <x:c r="D9" s="10" t="str">
        <x:v>CMA CGM Group</x:v>
      </x:c>
      <x:c r="E9" s="10" t="str">
        <x:v>APL</x:v>
      </x:c>
      <x:c r="F9" s="10" t="str">
        <x:v>APL RAFFLES</x:v>
      </x:c>
      <x:c r="G9" s="10" t="str"/>
      <x:c r="H9" s="10" t="str">
        <x:v>2024-03-07</x:v>
      </x:c>
      <x:c r="I9" s="10" t="n">
        <x:v>2024</x:v>
      </x:c>
      <x:c r="J9" s="10" t="str">
        <x:v>FAL1</x:v>
      </x:c>
      <x:c r="K9" s="10" t="str">
        <x:v>Terminal de France</x:v>
      </x:c>
      <x:c r="L9" s="10" t="str">
        <x:v>B1</x:v>
      </x:c>
      <x:c r="M9" s="10" t="str">
        <x:v>https://www.cma-cgm.com/ebusiness/schedules/voyage/detail?voyageReference=0FLGUE1MA</x:v>
      </x:c>
      <x:c r="N9" s="10" t="str">
        <x:v>Voyage historique CMA CGM/APL.</x:v>
      </x:c>
    </x:row>
    <x:row r="10">
      <x:c r="A10" s="10" t="str">
        <x:v>CMA CGM Group</x:v>
      </x:c>
      <x:c r="B10" s="10" t="str">
        <x:v>Référentiel V4</x:v>
      </x:c>
      <x:c r="C10" s="10" t="str">
        <x:v>EU-A</x:v>
      </x:c>
      <x:c r="D10" s="10" t="str">
        <x:v>CMA CGM Group</x:v>
      </x:c>
      <x:c r="E10" s="10" t="str">
        <x:v>APL</x:v>
      </x:c>
      <x:c r="F10" s="10" t="str">
        <x:v>APL SALALAH</x:v>
      </x:c>
      <x:c r="G10" s="10" t="str"/>
      <x:c r="H10" s="10" t="str">
        <x:v>2025-02-01</x:v>
      </x:c>
      <x:c r="I10" s="10" t="n">
        <x:v>2025</x:v>
      </x:c>
      <x:c r="J10" s="10" t="str">
        <x:v>EPIC</x:v>
      </x:c>
      <x:c r="K10" s="10" t="str">
        <x:v>Terminal de France</x:v>
      </x:c>
      <x:c r="L10" s="10" t="str">
        <x:v>B1</x:v>
      </x:c>
      <x:c r="M10" s="10" t="str">
        <x:v>https://www.cma-cgm.com/ebusiness/schedules/voyage/detail?voyageReference=0PEAYE1MA</x:v>
      </x:c>
      <x:c r="N10" s="10" t="str">
        <x:v>Voyage historique CMA CGM/APL.</x:v>
      </x:c>
    </x:row>
    <x:row r="11">
      <x:c r="A11" s="10" t="str">
        <x:v>CMA CGM Group</x:v>
      </x:c>
      <x:c r="B11" s="10" t="str">
        <x:v>Référentiel V4</x:v>
      </x:c>
      <x:c r="C11" s="10" t="str">
        <x:v>EU-A</x:v>
      </x:c>
      <x:c r="D11" s="10" t="str">
        <x:v>CMA CGM Group</x:v>
      </x:c>
      <x:c r="E11" s="10" t="str">
        <x:v>APL</x:v>
      </x:c>
      <x:c r="F11" s="10" t="str">
        <x:v>APL SAVANNAH</x:v>
      </x:c>
      <x:c r="G11" s="10" t="str"/>
      <x:c r="H11" s="10" t="str">
        <x:v>2024-08-07</x:v>
      </x:c>
      <x:c r="I11" s="10" t="n">
        <x:v>2024</x:v>
      </x:c>
      <x:c r="J11" s="10" t="str">
        <x:v>NEWMO</x:v>
      </x:c>
      <x:c r="K11" s="10" t="str">
        <x:v>Le Havre</x:v>
      </x:c>
      <x:c r="L11" s="10" t="str">
        <x:v>B1</x:v>
      </x:c>
      <x:c r="M11" s="10" t="str">
        <x:v>https://www.cma-cgm.com/ebusiness/schedules/voyage/detail?voyageReference=0NNJ5E1MA</x:v>
      </x:c>
      <x:c r="N11" s="10" t="str">
        <x:v>Voyage historique CMA CGM/APL.</x:v>
      </x:c>
    </x:row>
    <x:row r="12">
      <x:c r="A12" s="10" t="str">
        <x:v>CMA CGM Group</x:v>
      </x:c>
      <x:c r="B12" s="10" t="str">
        <x:v>Référentiel V4</x:v>
      </x:c>
      <x:c r="C12" s="10" t="str">
        <x:v>EU-A</x:v>
      </x:c>
      <x:c r="D12" s="10" t="str">
        <x:v>CMA CGM Group</x:v>
      </x:c>
      <x:c r="E12" s="10" t="str">
        <x:v>APL</x:v>
      </x:c>
      <x:c r="F12" s="10" t="str">
        <x:v>APL VANDA</x:v>
      </x:c>
      <x:c r="G12" s="10" t="str"/>
      <x:c r="H12" s="10" t="str">
        <x:v>2025-10-06</x:v>
      </x:c>
      <x:c r="I12" s="10" t="n">
        <x:v>2025</x:v>
      </x:c>
      <x:c r="J12" s="10" t="str">
        <x:v>FAL</x:v>
      </x:c>
      <x:c r="K12" s="10" t="str">
        <x:v>Terminal de France</x:v>
      </x:c>
      <x:c r="L12" s="10" t="str">
        <x:v>B1</x:v>
      </x:c>
      <x:c r="M12" s="10" t="str">
        <x:v>https://www.cma-cgm.com/ebusiness/schedules/voyage/detail?voyageReference=1FL21E1MA</x:v>
      </x:c>
      <x:c r="N12" s="10" t="str">
        <x:v>Voyage historique CMA CGM/APL.</x:v>
      </x:c>
    </x:row>
    <x:row r="13">
      <x:c r="A13" s="10" t="str">
        <x:v>CMA CGM Group</x:v>
      </x:c>
      <x:c r="B13" s="10" t="str">
        <x:v>Référentiel V4</x:v>
      </x:c>
      <x:c r="C13" s="10" t="str">
        <x:v>EU-A</x:v>
      </x:c>
      <x:c r="D13" s="10" t="str">
        <x:v>CMA CGM Group</x:v>
      </x:c>
      <x:c r="E13" s="10" t="str">
        <x:v>CMA CGM</x:v>
      </x:c>
      <x:c r="F13" s="10" t="str">
        <x:v>CMA CGM ABU DHABI</x:v>
      </x:c>
      <x:c r="G13" s="10" t="str"/>
      <x:c r="H13" s="10" t="str">
        <x:v>2023-09-02</x:v>
      </x:c>
      <x:c r="I13" s="10" t="n">
        <x:v>2023</x:v>
      </x:c>
      <x:c r="J13" s="10" t="str">
        <x:v>Panama Direct</x:v>
      </x:c>
      <x:c r="K13" s="10" t="str">
        <x:v>Le Havre</x:v>
      </x:c>
      <x:c r="L13" s="10" t="str">
        <x:v>B1</x:v>
      </x:c>
      <x:c r="M13" s="10" t="str">
        <x:v>https://www.cma-cgm.com/ebusiness/schedules/voyage/detail?voyageReference=0PGFCE1MA</x:v>
      </x:c>
      <x:c r="N13" s="10" t="str">
        <x:v>Voyage historique CMA CGM.</x:v>
      </x:c>
    </x:row>
    <x:row r="14">
      <x:c r="A14" s="10" t="str">
        <x:v>CMA CGM Group</x:v>
      </x:c>
      <x:c r="B14" s="10" t="str">
        <x:v>Référentiel V4</x:v>
      </x:c>
      <x:c r="C14" s="10" t="str">
        <x:v>EU-A</x:v>
      </x:c>
      <x:c r="D14" s="10" t="str">
        <x:v>CMA CGM Group</x:v>
      </x:c>
      <x:c r="E14" s="10" t="str">
        <x:v>CMA CGM</x:v>
      </x:c>
      <x:c r="F14" s="10" t="str">
        <x:v>CMA CGM ALCAZAR</x:v>
      </x:c>
      <x:c r="G14" s="10" t="str"/>
      <x:c r="H14" s="10" t="str">
        <x:v>2024-02-27</x:v>
      </x:c>
      <x:c r="I14" s="10" t="n">
        <x:v>2024</x:v>
      </x:c>
      <x:c r="J14" s="10" t="str">
        <x:v>Service CMA CGM</x:v>
      </x:c>
      <x:c r="K14" s="10" t="str">
        <x:v>Quai d'Amérique</x:v>
      </x:c>
      <x:c r="L14" s="10" t="str">
        <x:v>C</x:v>
      </x:c>
      <x:c r="M14" s="10" t="str">
        <x:v>https://www.marine-marchande.net/Jourlejour4/AujourleJour-534.html</x:v>
      </x:c>
      <x:c r="N14" s="10" t="str">
        <x:v>Arrivée d'Anvers documentée.</x:v>
      </x:c>
    </x:row>
    <x:row r="15">
      <x:c r="A15" s="10" t="str">
        <x:v>CMA CGM Group</x:v>
      </x:c>
      <x:c r="B15" s="10" t="str">
        <x:v>Référentiel V4</x:v>
      </x:c>
      <x:c r="C15" s="10" t="str">
        <x:v>EU-A</x:v>
      </x:c>
      <x:c r="D15" s="10" t="str">
        <x:v>CMA CGM Group</x:v>
      </x:c>
      <x:c r="E15" s="10" t="str">
        <x:v>CMA CGM</x:v>
      </x:c>
      <x:c r="F15" s="10" t="str">
        <x:v>CMA CGM ALEXANDER VON HUMBOLDT</x:v>
      </x:c>
      <x:c r="G15" s="10" t="str"/>
      <x:c r="H15" s="10" t="str">
        <x:v>2024-06-03</x:v>
      </x:c>
      <x:c r="I15" s="10" t="n">
        <x:v>2024</x:v>
      </x:c>
      <x:c r="J15" s="10" t="str">
        <x:v>Asie-Europe</x:v>
      </x:c>
      <x:c r="K15" s="10" t="str">
        <x:v>Le Havre</x:v>
      </x:c>
      <x:c r="L15" s="10" t="str">
        <x:v>C</x:v>
      </x:c>
      <x:c r="M15" s="10" t="str">
        <x:v>https://www.marine-marchande.net/Jourlejour4/AujourleJour-537.html</x:v>
      </x:c>
      <x:c r="N15" s="10" t="str">
        <x:v>Observation portuaire datée.</x:v>
      </x:c>
    </x:row>
    <x:row r="16">
      <x:c r="A16" s="10" t="str">
        <x:v>CMA CGM Group</x:v>
      </x:c>
      <x:c r="B16" s="10" t="str">
        <x:v>Référentiel V4</x:v>
      </x:c>
      <x:c r="C16" s="10" t="str">
        <x:v>EU-A</x:v>
      </x:c>
      <x:c r="D16" s="10" t="str">
        <x:v>CMA CGM Group</x:v>
      </x:c>
      <x:c r="E16" s="10" t="str">
        <x:v>CMA CGM</x:v>
      </x:c>
      <x:c r="F16" s="10" t="str">
        <x:v>CMA CGM AMERICA</x:v>
      </x:c>
      <x:c r="G16" s="10" t="str"/>
      <x:c r="H16" s="10" t="str">
        <x:v>2023-08-11</x:v>
      </x:c>
      <x:c r="I16" s="10" t="n">
        <x:v>2023</x:v>
      </x:c>
      <x:c r="J16" s="10" t="str">
        <x:v>Transatlantique / service CMA CGM</x:v>
      </x:c>
      <x:c r="K16" s="10" t="str">
        <x:v>Le Havre</x:v>
      </x:c>
      <x:c r="L16" s="10" t="str">
        <x:v>C</x:v>
      </x:c>
      <x:c r="M16" s="10" t="str">
        <x:v>https://www.marine-marchande.net/Jourlejour4/AujourleJour-527.html</x:v>
      </x:c>
      <x:c r="N16" s="10" t="str">
        <x:v>Observation portuaire datée.</x:v>
      </x:c>
    </x:row>
    <x:row r="17">
      <x:c r="A17" s="10" t="str">
        <x:v>CMA CGM Group</x:v>
      </x:c>
      <x:c r="B17" s="10" t="str">
        <x:v>Référentiel V4</x:v>
      </x:c>
      <x:c r="C17" s="10" t="str">
        <x:v>EU-A</x:v>
      </x:c>
      <x:c r="D17" s="10" t="str">
        <x:v>CMA CGM Group</x:v>
      </x:c>
      <x:c r="E17" s="10" t="str">
        <x:v>CMA CGM</x:v>
      </x:c>
      <x:c r="F17" s="10" t="str">
        <x:v>CMA CGM ANTOINE DE SAINT EXUPERY</x:v>
      </x:c>
      <x:c r="G17" s="10" t="str"/>
      <x:c r="H17" s="10" t="str">
        <x:v>2024-01-06</x:v>
      </x:c>
      <x:c r="I17" s="10" t="n">
        <x:v>2024</x:v>
      </x:c>
      <x:c r="J17" s="10" t="str">
        <x:v>Asie-Europe</x:v>
      </x:c>
      <x:c r="K17" s="10" t="str">
        <x:v>Port 2000</x:v>
      </x:c>
      <x:c r="L17" s="10" t="str">
        <x:v>C</x:v>
      </x:c>
      <x:c r="M17" s="10" t="str">
        <x:v>https://www.marine-marchande.net/Jourlejour4/AujourleJour-532.html</x:v>
      </x:c>
      <x:c r="N17" s="10" t="str">
        <x:v>Observation portuaire datée.</x:v>
      </x:c>
    </x:row>
    <x:row r="18">
      <x:c r="A18" s="10" t="str">
        <x:v>CMA CGM Group</x:v>
      </x:c>
      <x:c r="B18" s="10" t="str">
        <x:v>Référentiel V4</x:v>
      </x:c>
      <x:c r="C18" s="10" t="str">
        <x:v>EU-A</x:v>
      </x:c>
      <x:c r="D18" s="10" t="str">
        <x:v>CMA CGM Group</x:v>
      </x:c>
      <x:c r="E18" s="10" t="str">
        <x:v>CMA CGM</x:v>
      </x:c>
      <x:c r="F18" s="10" t="str">
        <x:v>CMA CGM AQUILA</x:v>
      </x:c>
      <x:c r="G18" s="10" t="str"/>
      <x:c r="H18" s="10" t="str">
        <x:v>2025-09-01</x:v>
      </x:c>
      <x:c r="I18" s="10" t="n">
        <x:v>2025</x:v>
      </x:c>
      <x:c r="J18" s="10" t="str">
        <x:v>Asie-Europe</x:v>
      </x:c>
      <x:c r="K18" s="10" t="str">
        <x:v>Port 2000</x:v>
      </x:c>
      <x:c r="L18" s="10" t="str">
        <x:v>C</x:v>
      </x:c>
      <x:c r="M18" s="10" t="str">
        <x:v>https://www.marine-marchande.net/Jourlejour4/AujourleJour-552.html</x:v>
      </x:c>
      <x:c r="N18" s="10" t="str">
        <x:v>Observation portuaire datée.</x:v>
      </x:c>
    </x:row>
    <x:row r="19">
      <x:c r="A19" s="10" t="str">
        <x:v>CMA CGM Group</x:v>
      </x:c>
      <x:c r="B19" s="10" t="str">
        <x:v>Référentiel V4</x:v>
      </x:c>
      <x:c r="C19" s="10" t="str">
        <x:v>EU-A</x:v>
      </x:c>
      <x:c r="D19" s="10" t="str">
        <x:v>CMA CGM Group</x:v>
      </x:c>
      <x:c r="E19" s="10" t="str">
        <x:v>CMA CGM</x:v>
      </x:c>
      <x:c r="F19" s="10" t="str">
        <x:v>CMA CGM ARKANSAS</x:v>
      </x:c>
      <x:c r="G19" s="10" t="str"/>
      <x:c r="H19" s="10" t="str">
        <x:v>2023-01-05</x:v>
      </x:c>
      <x:c r="I19" s="10" t="n">
        <x:v>2023</x:v>
      </x:c>
      <x:c r="J19" s="10" t="str">
        <x:v>EUROSAL</x:v>
      </x:c>
      <x:c r="K19" s="10" t="str">
        <x:v>Le Havre</x:v>
      </x:c>
      <x:c r="L19" s="10" t="str">
        <x:v>B1</x:v>
      </x:c>
      <x:c r="M19" s="10" t="str">
        <x:v>https://www.porttechnology.org/cma-cgm-continues-blank-sailings-on-congested-eurosal-service/</x:v>
      </x:c>
      <x:c r="N19" s="10" t="str">
        <x:v>Retour programmé du service à Le Havre ; ETA publiée.</x:v>
      </x:c>
    </x:row>
    <x:row r="20">
      <x:c r="A20" s="10" t="str">
        <x:v>CMA CGM Group</x:v>
      </x:c>
      <x:c r="B20" s="10" t="str">
        <x:v>Référentiel V4</x:v>
      </x:c>
      <x:c r="C20" s="10" t="str">
        <x:v>EU-A</x:v>
      </x:c>
      <x:c r="D20" s="10" t="str">
        <x:v>CMA CGM Group</x:v>
      </x:c>
      <x:c r="E20" s="10" t="str">
        <x:v>CMA CGM</x:v>
      </x:c>
      <x:c r="F20" s="10" t="str">
        <x:v>CMA CGM BENJAMIN FRANKLIN</x:v>
      </x:c>
      <x:c r="G20" s="10" t="str"/>
      <x:c r="H20" s="10" t="str">
        <x:v>2024-04-15</x:v>
      </x:c>
      <x:c r="I20" s="10" t="n">
        <x:v>2024</x:v>
      </x:c>
      <x:c r="J20" s="10" t="str">
        <x:v>Asie-Europe</x:v>
      </x:c>
      <x:c r="K20" s="10" t="str">
        <x:v>Le Havre</x:v>
      </x:c>
      <x:c r="L20" s="10" t="str">
        <x:v>C</x:v>
      </x:c>
      <x:c r="M20" s="10" t="str">
        <x:v>https://www.marine-marchande.net/Jourlejour4/AujourleJour-535.html</x:v>
      </x:c>
      <x:c r="N20" s="10" t="str">
        <x:v>Arrivée directe de Singapour documentée.</x:v>
      </x:c>
    </x:row>
    <x:row r="21">
      <x:c r="A21" s="10" t="str">
        <x:v>CMA CGM Group</x:v>
      </x:c>
      <x:c r="B21" s="10" t="str">
        <x:v>Référentiel V4</x:v>
      </x:c>
      <x:c r="C21" s="10" t="str">
        <x:v>EU-A</x:v>
      </x:c>
      <x:c r="D21" s="10" t="str">
        <x:v>CMA CGM Group</x:v>
      </x:c>
      <x:c r="E21" s="10" t="str">
        <x:v>CMA CGM</x:v>
      </x:c>
      <x:c r="F21" s="10" t="str">
        <x:v>CMA CGM BLUE</x:v>
      </x:c>
      <x:c r="G21" s="10" t="str"/>
      <x:c r="H21" s="10" t="str">
        <x:v>2026-06-02</x:v>
      </x:c>
      <x:c r="I21" s="10" t="n">
        <x:v>2026</x:v>
      </x:c>
      <x:c r="J21" s="10" t="str">
        <x:v>Service CMA CGM</x:v>
      </x:c>
      <x:c r="K21" s="10" t="str">
        <x:v>Port 2000</x:v>
      </x:c>
      <x:c r="L21" s="10" t="str">
        <x:v>C</x:v>
      </x:c>
      <x:c r="M21" s="10" t="str">
        <x:v>https://www.marine-marchande.net/Jourlejour4/AujourleJour-561.html</x:v>
      </x:c>
      <x:c r="N21" s="10" t="str">
        <x:v>Observation portuaire datée.</x:v>
      </x:c>
    </x:row>
    <x:row r="22">
      <x:c r="A22" s="10" t="str">
        <x:v>CMA CGM Group</x:v>
      </x:c>
      <x:c r="B22" s="10" t="str">
        <x:v>Référentiel V4</x:v>
      </x:c>
      <x:c r="C22" s="10" t="str">
        <x:v>EU-A</x:v>
      </x:c>
      <x:c r="D22" s="10" t="str">
        <x:v>CMA CGM Group</x:v>
      </x:c>
      <x:c r="E22" s="10" t="str">
        <x:v>CMA CGM</x:v>
      </x:c>
      <x:c r="F22" s="10" t="str">
        <x:v>CMA CGM BLUE WHALE</x:v>
      </x:c>
      <x:c r="G22" s="10" t="str"/>
      <x:c r="H22" s="10" t="str">
        <x:v>2025-02</x:v>
      </x:c>
      <x:c r="I22" s="10" t="n">
        <x:v>2025</x:v>
      </x:c>
      <x:c r="J22" s="10" t="str">
        <x:v>Asie-Europe</x:v>
      </x:c>
      <x:c r="K22" s="10" t="str">
        <x:v>Le Havre</x:v>
      </x:c>
      <x:c r="L22" s="10" t="str">
        <x:v>C</x:v>
      </x:c>
      <x:c r="M22" s="10" t="str">
        <x:v>https://www.marine-marchande.net/Jourlejour4/AujourleJour-546.html</x:v>
      </x:c>
      <x:c r="N22" s="10" t="str">
        <x:v>Arrivée directe de Singapour documentée.</x:v>
      </x:c>
    </x:row>
    <x:row r="23">
      <x:c r="A23" s="10" t="str">
        <x:v>CMA CGM Group</x:v>
      </x:c>
      <x:c r="B23" s="10" t="str">
        <x:v>Référentiel V4</x:v>
      </x:c>
      <x:c r="C23" s="10" t="str">
        <x:v>EU-A</x:v>
      </x:c>
      <x:c r="D23" s="10" t="str">
        <x:v>CMA CGM Group</x:v>
      </x:c>
      <x:c r="E23" s="10" t="str">
        <x:v>CMA CGM</x:v>
      </x:c>
      <x:c r="F23" s="10" t="str">
        <x:v>CMA CGM CHOPIN</x:v>
      </x:c>
      <x:c r="G23" s="10" t="str"/>
      <x:c r="H23" s="10" t="str">
        <x:v>2024-09</x:v>
      </x:c>
      <x:c r="I23" s="10" t="n">
        <x:v>2024</x:v>
      </x:c>
      <x:c r="J23" s="10" t="str">
        <x:v>Asie-Europe</x:v>
      </x:c>
      <x:c r="K23" s="10" t="str">
        <x:v>Le Havre</x:v>
      </x:c>
      <x:c r="L23" s="10" t="str">
        <x:v>C</x:v>
      </x:c>
      <x:c r="M23" s="10" t="str">
        <x:v>https://www.marine-marchande.net/Jourlejour4/AujourleJour-540.html</x:v>
      </x:c>
      <x:c r="N23" s="10" t="str">
        <x:v>Présence au Havre documentée en septembre 2024.</x:v>
      </x:c>
    </x:row>
    <x:row r="24">
      <x:c r="A24" s="10" t="str">
        <x:v>CMA CGM Group</x:v>
      </x:c>
      <x:c r="B24" s="10" t="str">
        <x:v>Référentiel V4</x:v>
      </x:c>
      <x:c r="C24" s="10" t="str">
        <x:v>EU-A</x:v>
      </x:c>
      <x:c r="D24" s="10" t="str">
        <x:v>CMA CGM Group</x:v>
      </x:c>
      <x:c r="E24" s="10" t="str">
        <x:v>CMA CGM</x:v>
      </x:c>
      <x:c r="F24" s="10" t="str">
        <x:v>CMA CGM COLUMBA</x:v>
      </x:c>
      <x:c r="G24" s="10" t="str"/>
      <x:c r="H24" s="10" t="str">
        <x:v>2024-07-23</x:v>
      </x:c>
      <x:c r="I24" s="10" t="n">
        <x:v>2024</x:v>
      </x:c>
      <x:c r="J24" s="10" t="str">
        <x:v>Service CMA CGM</x:v>
      </x:c>
      <x:c r="K24" s="10" t="str">
        <x:v>Le Havre</x:v>
      </x:c>
      <x:c r="L24" s="10" t="str">
        <x:v>C</x:v>
      </x:c>
      <x:c r="M24" s="10" t="str">
        <x:v>https://www.marine-marchande.net/Jourlejour4/AujourleJour-539.html</x:v>
      </x:c>
      <x:c r="N24" s="10" t="str">
        <x:v>Mouvement portuaire daté.</x:v>
      </x:c>
    </x:row>
    <x:row r="25">
      <x:c r="A25" s="10" t="str">
        <x:v>CMA CGM Group</x:v>
      </x:c>
      <x:c r="B25" s="10" t="str">
        <x:v>Référentiel V4</x:v>
      </x:c>
      <x:c r="C25" s="10" t="str">
        <x:v>EU-A</x:v>
      </x:c>
      <x:c r="D25" s="10" t="str">
        <x:v>CMA CGM Group</x:v>
      </x:c>
      <x:c r="E25" s="10" t="str">
        <x:v>CMA CGM</x:v>
      </x:c>
      <x:c r="F25" s="10" t="str">
        <x:v>CMA CGM DOLOMITES</x:v>
      </x:c>
      <x:c r="G25" s="10" t="str">
        <x:v>9926221</x:v>
      </x:c>
      <x:c r="H25" s="10" t="str">
        <x:v>2026-04</x:v>
      </x:c>
      <x:c r="I25" s="10" t="n">
        <x:v>2026</x:v>
      </x:c>
      <x:c r="J25" s="10" t="str">
        <x:v>Service CMA CGM</x:v>
      </x:c>
      <x:c r="K25" s="10" t="str">
        <x:v>Le Havre</x:v>
      </x:c>
      <x:c r="L25" s="10" t="str">
        <x:v>C</x:v>
      </x:c>
      <x:c r="M25" s="10" t="str">
        <x:v>https://www.marine-marchande.net/Jourlejour4/AujourleJour-559.html</x:v>
      </x:c>
      <x:c r="N25" s="10" t="str">
        <x:v>Présence havraise documentée début avril 2026.</x:v>
      </x:c>
    </x:row>
    <x:row r="26">
      <x:c r="A26" s="10" t="str">
        <x:v>CMA CGM Group</x:v>
      </x:c>
      <x:c r="B26" s="10" t="str">
        <x:v>Référentiel V4</x:v>
      </x:c>
      <x:c r="C26" s="10" t="str">
        <x:v>EU-A</x:v>
      </x:c>
      <x:c r="D26" s="10" t="str">
        <x:v>CMA CGM Group</x:v>
      </x:c>
      <x:c r="E26" s="10" t="str">
        <x:v>CMA CGM</x:v>
      </x:c>
      <x:c r="F26" s="10" t="str">
        <x:v>CMA CGM EIFFEL</x:v>
      </x:c>
      <x:c r="G26" s="10" t="str"/>
      <x:c r="H26" s="10" t="str">
        <x:v>2023-10-25</x:v>
      </x:c>
      <x:c r="I26" s="10" t="n">
        <x:v>2023</x:v>
      </x:c>
      <x:c r="J26" s="10" t="str">
        <x:v>NC Levant</x:v>
      </x:c>
      <x:c r="K26" s="10" t="str">
        <x:v>Le Havre</x:v>
      </x:c>
      <x:c r="L26" s="10" t="str">
        <x:v>B1</x:v>
      </x:c>
      <x:c r="M26" s="10" t="str">
        <x:v>https://www.cma-cgm.com/ebusiness/schedules/voyage/detail?voyageReference=0MRARE1MA</x:v>
      </x:c>
      <x:c r="N26" s="10" t="str">
        <x:v>Voyage historique CMA CGM.</x:v>
      </x:c>
    </x:row>
    <x:row r="27">
      <x:c r="A27" s="10" t="str">
        <x:v>CMA CGM Group</x:v>
      </x:c>
      <x:c r="B27" s="10" t="str">
        <x:v>Référentiel V4</x:v>
      </x:c>
      <x:c r="C27" s="10" t="str">
        <x:v>EU-A</x:v>
      </x:c>
      <x:c r="D27" s="10" t="str">
        <x:v>CMA CGM Group</x:v>
      </x:c>
      <x:c r="E27" s="10" t="str">
        <x:v>CMA CGM</x:v>
      </x:c>
      <x:c r="F27" s="10" t="str">
        <x:v>CMA CGM FIDELIO</x:v>
      </x:c>
      <x:c r="G27" s="10" t="str">
        <x:v>9299642</x:v>
      </x:c>
      <x:c r="H27" s="10" t="str">
        <x:v>2026-03-30</x:v>
      </x:c>
      <x:c r="I27" s="10" t="n">
        <x:v>2026</x:v>
      </x:c>
      <x:c r="J27" s="10" t="str">
        <x:v>Asie-Europe</x:v>
      </x:c>
      <x:c r="K27" s="10" t="str">
        <x:v>Port 2000</x:v>
      </x:c>
      <x:c r="L27" s="10" t="str">
        <x:v>A2</x:v>
      </x:c>
      <x:c r="M27" s="10" t="str">
        <x:v>https://www.vesselfinder.com/vessels/details/9299642</x:v>
      </x:c>
      <x:c r="N27" s="10" t="str">
        <x:v>VesselFinder : historique/visite du Havre corroboré.</x:v>
      </x:c>
    </x:row>
    <x:row r="28">
      <x:c r="A28" s="10" t="str">
        <x:v>CMA CGM Group</x:v>
      </x:c>
      <x:c r="B28" s="10" t="str">
        <x:v>Référentiel V4</x:v>
      </x:c>
      <x:c r="C28" s="10" t="str">
        <x:v>EU-A</x:v>
      </x:c>
      <x:c r="D28" s="10" t="str">
        <x:v>CMA CGM Group</x:v>
      </x:c>
      <x:c r="E28" s="10" t="str">
        <x:v>CMA CGM</x:v>
      </x:c>
      <x:c r="F28" s="10" t="str">
        <x:v>CMA CGM FIGARO</x:v>
      </x:c>
      <x:c r="G28" s="10" t="str">
        <x:v>9450600</x:v>
      </x:c>
      <x:c r="H28" s="10" t="str">
        <x:v>2026-09-18</x:v>
      </x:c>
      <x:c r="I28" s="10" t="n">
        <x:v>2026</x:v>
      </x:c>
      <x:c r="J28" s="10" t="str">
        <x:v>Service CMA CGM</x:v>
      </x:c>
      <x:c r="K28" s="10" t="str">
        <x:v>Terminal de France</x:v>
      </x:c>
      <x:c r="L28" s="10" t="str">
        <x:v>A1</x:v>
      </x:c>
      <x:c r="M28" s="10" t="str">
        <x:v>https://www.havre-port.com/fr/liste/129/departs-au-grand-port-maritime-du-havre</x:v>
      </x:c>
      <x:c r="N28" s="10" t="str">
        <x:v>Mouvement officiel S-WiNG/HAROPA au 18/09/2026.</x:v>
      </x:c>
    </x:row>
    <x:row r="29">
      <x:c r="A29" s="10" t="str">
        <x:v>CMA CGM Group</x:v>
      </x:c>
      <x:c r="B29" s="10" t="str">
        <x:v>Référentiel V4</x:v>
      </x:c>
      <x:c r="C29" s="10" t="str">
        <x:v>EU-A</x:v>
      </x:c>
      <x:c r="D29" s="10" t="str">
        <x:v>CMA CGM Group</x:v>
      </x:c>
      <x:c r="E29" s="10" t="str">
        <x:v>CMA CGM</x:v>
      </x:c>
      <x:c r="F29" s="10" t="str">
        <x:v>CMA CGM FLEUR D'EPEE</x:v>
      </x:c>
      <x:c r="G29" s="10" t="str"/>
      <x:c r="H29" s="10" t="str">
        <x:v>2024-07-21</x:v>
      </x:c>
      <x:c r="I29" s="10" t="n">
        <x:v>2024</x:v>
      </x:c>
      <x:c r="J29" s="10" t="str">
        <x:v>Service CMA CGM</x:v>
      </x:c>
      <x:c r="K29" s="10" t="str">
        <x:v>Le Havre</x:v>
      </x:c>
      <x:c r="L29" s="10" t="str">
        <x:v>C</x:v>
      </x:c>
      <x:c r="M29" s="10" t="str">
        <x:v>https://www.marine-marchande.net/Jourlejour4/AujourleJour-539.html</x:v>
      </x:c>
      <x:c r="N29" s="10" t="str">
        <x:v>Mouvement portuaire daté.</x:v>
      </x:c>
    </x:row>
    <x:row r="30">
      <x:c r="A30" s="10" t="str">
        <x:v>CMA CGM Group</x:v>
      </x:c>
      <x:c r="B30" s="10" t="str">
        <x:v>Référentiel V4</x:v>
      </x:c>
      <x:c r="C30" s="10" t="str">
        <x:v>EU-A</x:v>
      </x:c>
      <x:c r="D30" s="10" t="str">
        <x:v>CMA CGM Group</x:v>
      </x:c>
      <x:c r="E30" s="10" t="str">
        <x:v>CMA CGM</x:v>
      </x:c>
      <x:c r="F30" s="10" t="str">
        <x:v>CMA CGM FORT DE FRANCE</x:v>
      </x:c>
      <x:c r="G30" s="10" t="str"/>
      <x:c r="H30" s="10" t="str">
        <x:v>2023-09-01</x:v>
      </x:c>
      <x:c r="I30" s="10" t="n">
        <x:v>2023</x:v>
      </x:c>
      <x:c r="J30" s="10" t="str">
        <x:v>NEFWI</x:v>
      </x:c>
      <x:c r="K30" s="10" t="str">
        <x:v>Le Havre</x:v>
      </x:c>
      <x:c r="L30" s="10" t="str">
        <x:v>B1</x:v>
      </x:c>
      <x:c r="M30" s="10" t="str">
        <x:v>https://www.cma-cgm.com/ebusiness/schedules/voyage/detail?voyageReference=0NVGCE1MA</x:v>
      </x:c>
      <x:c r="N30" s="10" t="str">
        <x:v>Voyage historique CMA CGM.</x:v>
      </x:c>
    </x:row>
    <x:row r="31">
      <x:c r="A31" s="10" t="str">
        <x:v>CMA CGM Group</x:v>
      </x:c>
      <x:c r="B31" s="10" t="str">
        <x:v>Référentiel V4</x:v>
      </x:c>
      <x:c r="C31" s="10" t="str">
        <x:v>EU-A</x:v>
      </x:c>
      <x:c r="D31" s="10" t="str">
        <x:v>CMA CGM Group</x:v>
      </x:c>
      <x:c r="E31" s="10" t="str">
        <x:v>CMA CGM</x:v>
      </x:c>
      <x:c r="F31" s="10" t="str">
        <x:v>CMA CGM FORT SAINT CHARLES</x:v>
      </x:c>
      <x:c r="G31" s="10" t="str"/>
      <x:c r="H31" s="10" t="str">
        <x:v>2023-02-19</x:v>
      </x:c>
      <x:c r="I31" s="10" t="n">
        <x:v>2023</x:v>
      </x:c>
      <x:c r="J31" s="10" t="str">
        <x:v>Service CMA CGM</x:v>
      </x:c>
      <x:c r="K31" s="10" t="str">
        <x:v>Le Havre</x:v>
      </x:c>
      <x:c r="L31" s="10" t="str">
        <x:v>C</x:v>
      </x:c>
      <x:c r="M31" s="10" t="str">
        <x:v>https://www.marine-marchande.net/Jourlejour4/AujourleJour-521.html</x:v>
      </x:c>
      <x:c r="N31" s="10" t="str">
        <x:v>Départ du Havre documenté.</x:v>
      </x:c>
    </x:row>
    <x:row r="32">
      <x:c r="A32" s="10" t="str">
        <x:v>CMA CGM Group</x:v>
      </x:c>
      <x:c r="B32" s="10" t="str">
        <x:v>Référentiel V4</x:v>
      </x:c>
      <x:c r="C32" s="10" t="str">
        <x:v>EU-A</x:v>
      </x:c>
      <x:c r="D32" s="10" t="str">
        <x:v>CMA CGM Group</x:v>
      </x:c>
      <x:c r="E32" s="10" t="str">
        <x:v>CMA CGM</x:v>
      </x:c>
      <x:c r="F32" s="10" t="str">
        <x:v>CMA CGM HAMLET</x:v>
      </x:c>
      <x:c r="G32" s="10" t="str">
        <x:v>9763710</x:v>
      </x:c>
      <x:c r="H32" s="10" t="str">
        <x:v>2026-03-03</x:v>
      </x:c>
      <x:c r="I32" s="10" t="n">
        <x:v>2026</x:v>
      </x:c>
      <x:c r="J32" s="10" t="str">
        <x:v>Service CMA CGM</x:v>
      </x:c>
      <x:c r="K32" s="10" t="str">
        <x:v>Le Havre</x:v>
      </x:c>
      <x:c r="L32" s="10" t="str">
        <x:v>C</x:v>
      </x:c>
      <x:c r="M32" s="10" t="str">
        <x:v>https://www.marine-marchande.net/Jourlejour4/AujourleJour-558.html</x:v>
      </x:c>
      <x:c r="N32" s="10" t="str">
        <x:v>Observation portuaire datée.</x:v>
      </x:c>
    </x:row>
    <x:row r="33">
      <x:c r="A33" s="10" t="str">
        <x:v>CMA CGM Group</x:v>
      </x:c>
      <x:c r="B33" s="10" t="str">
        <x:v>Référentiel V4</x:v>
      </x:c>
      <x:c r="C33" s="10" t="str">
        <x:v>EU-A</x:v>
      </x:c>
      <x:c r="D33" s="10" t="str">
        <x:v>CMA CGM Group</x:v>
      </x:c>
      <x:c r="E33" s="10" t="str">
        <x:v>CMA CGM</x:v>
      </x:c>
      <x:c r="F33" s="10" t="str">
        <x:v>CMA CGM ISKENDERUN</x:v>
      </x:c>
      <x:c r="G33" s="10" t="str"/>
      <x:c r="H33" s="10" t="str">
        <x:v>2023-02</x:v>
      </x:c>
      <x:c r="I33" s="10" t="n">
        <x:v>2023</x:v>
      </x:c>
      <x:c r="J33" s="10" t="str">
        <x:v>Service CMA CGM</x:v>
      </x:c>
      <x:c r="K33" s="10" t="str">
        <x:v>Le Havre</x:v>
      </x:c>
      <x:c r="L33" s="10" t="str">
        <x:v>C</x:v>
      </x:c>
      <x:c r="M33" s="10" t="str">
        <x:v>https://www.marine-marchande.net/Jourlejour4/AujourleJour-521.html</x:v>
      </x:c>
      <x:c r="N33" s="10" t="str">
        <x:v>Présence havraise documentée en février 2023.</x:v>
      </x:c>
    </x:row>
    <x:row r="34">
      <x:c r="A34" s="10" t="str">
        <x:v>CMA CGM Group</x:v>
      </x:c>
      <x:c r="B34" s="10" t="str">
        <x:v>Référentiel V4</x:v>
      </x:c>
      <x:c r="C34" s="10" t="str">
        <x:v>EU-A</x:v>
      </x:c>
      <x:c r="D34" s="10" t="str">
        <x:v>CMA CGM Group</x:v>
      </x:c>
      <x:c r="E34" s="10" t="str">
        <x:v>CMA CGM</x:v>
      </x:c>
      <x:c r="F34" s="10" t="str">
        <x:v>CMA CGM JACQUES SAADE</x:v>
      </x:c>
      <x:c r="G34" s="10" t="str"/>
      <x:c r="H34" s="10" t="str">
        <x:v>2024-01-15</x:v>
      </x:c>
      <x:c r="I34" s="10" t="n">
        <x:v>2024</x:v>
      </x:c>
      <x:c r="J34" s="10" t="str">
        <x:v>FAL3</x:v>
      </x:c>
      <x:c r="K34" s="10" t="str">
        <x:v>Terminal de France</x:v>
      </x:c>
      <x:c r="L34" s="10" t="str">
        <x:v>B1</x:v>
      </x:c>
      <x:c r="M34" s="10" t="str">
        <x:v>https://www.cma-cgm.com/ebusiness/schedules/voyage/detail?voyageReference=0FMEKW1MA</x:v>
      </x:c>
      <x:c r="N34" s="10" t="str">
        <x:v>Voyage historique CMA CGM.</x:v>
      </x:c>
    </x:row>
    <x:row r="35">
      <x:c r="A35" s="10" t="str">
        <x:v>CMA CGM Group</x:v>
      </x:c>
      <x:c r="B35" s="10" t="str">
        <x:v>Référentiel V4</x:v>
      </x:c>
      <x:c r="C35" s="10" t="str">
        <x:v>EU-A</x:v>
      </x:c>
      <x:c r="D35" s="10" t="str">
        <x:v>CMA CGM Group</x:v>
      </x:c>
      <x:c r="E35" s="10" t="str">
        <x:v>CMA CGM</x:v>
      </x:c>
      <x:c r="F35" s="10" t="str">
        <x:v>CMA CGM JEAN MERMOZ</x:v>
      </x:c>
      <x:c r="G35" s="10" t="str"/>
      <x:c r="H35" s="10" t="str">
        <x:v>2024-09</x:v>
      </x:c>
      <x:c r="I35" s="10" t="n">
        <x:v>2024</x:v>
      </x:c>
      <x:c r="J35" s="10" t="str">
        <x:v>Asie-Europe</x:v>
      </x:c>
      <x:c r="K35" s="10" t="str">
        <x:v>Le Havre</x:v>
      </x:c>
      <x:c r="L35" s="10" t="str">
        <x:v>C</x:v>
      </x:c>
      <x:c r="M35" s="10" t="str">
        <x:v>https://www.marine-marchande.net/Jourlejour4/AujourleJour-540.html</x:v>
      </x:c>
      <x:c r="N35" s="10" t="str">
        <x:v>Présence au Havre documentée en septembre 2024.</x:v>
      </x:c>
    </x:row>
    <x:row r="36">
      <x:c r="A36" s="10" t="str">
        <x:v>CMA CGM Group</x:v>
      </x:c>
      <x:c r="B36" s="10" t="str">
        <x:v>Référentiel V4</x:v>
      </x:c>
      <x:c r="C36" s="10" t="str">
        <x:v>EU-A</x:v>
      </x:c>
      <x:c r="D36" s="10" t="str">
        <x:v>CMA CGM Group</x:v>
      </x:c>
      <x:c r="E36" s="10" t="str">
        <x:v>CMA CGM</x:v>
      </x:c>
      <x:c r="F36" s="10" t="str">
        <x:v>CMA CGM KERGUELEN</x:v>
      </x:c>
      <x:c r="G36" s="10" t="str"/>
      <x:c r="H36" s="10" t="str">
        <x:v>2024-06-18</x:v>
      </x:c>
      <x:c r="I36" s="10" t="n">
        <x:v>2024</x:v>
      </x:c>
      <x:c r="J36" s="10" t="str">
        <x:v>Asie-Europe</x:v>
      </x:c>
      <x:c r="K36" s="10" t="str">
        <x:v>Le Havre</x:v>
      </x:c>
      <x:c r="L36" s="10" t="str">
        <x:v>C</x:v>
      </x:c>
      <x:c r="M36" s="10" t="str">
        <x:v>https://www.marine-marchande.net/Jourlejour4/AujourleJour-537.html</x:v>
      </x:c>
      <x:c r="N36" s="10" t="str">
        <x:v>Mouvement portuaire daté.</x:v>
      </x:c>
    </x:row>
    <x:row r="37">
      <x:c r="A37" s="10" t="str">
        <x:v>CMA CGM Group</x:v>
      </x:c>
      <x:c r="B37" s="10" t="str">
        <x:v>Référentiel V4</x:v>
      </x:c>
      <x:c r="C37" s="10" t="str">
        <x:v>EU-A</x:v>
      </x:c>
      <x:c r="D37" s="10" t="str">
        <x:v>CMA CGM Group</x:v>
      </x:c>
      <x:c r="E37" s="10" t="str">
        <x:v>CMA CGM</x:v>
      </x:c>
      <x:c r="F37" s="10" t="str">
        <x:v>CMA CGM LOUIS BLERIOT</x:v>
      </x:c>
      <x:c r="G37" s="10" t="str"/>
      <x:c r="H37" s="10" t="str">
        <x:v>2023-02-07</x:v>
      </x:c>
      <x:c r="I37" s="10" t="n">
        <x:v>2023</x:v>
      </x:c>
      <x:c r="J37" s="10" t="str">
        <x:v>Asie-Europe</x:v>
      </x:c>
      <x:c r="K37" s="10" t="str">
        <x:v>Port 2000</x:v>
      </x:c>
      <x:c r="L37" s="10" t="str">
        <x:v>C</x:v>
      </x:c>
      <x:c r="M37" s="10" t="str">
        <x:v>https://www.marine-marchande.net/Jourlejour4/AujourleJour-521.html</x:v>
      </x:c>
      <x:c r="N37" s="10" t="str">
        <x:v>Mouvement portuaire daté.</x:v>
      </x:c>
    </x:row>
    <x:row r="38">
      <x:c r="A38" s="10" t="str">
        <x:v>CMA CGM Group</x:v>
      </x:c>
      <x:c r="B38" s="10" t="str">
        <x:v>Référentiel V4</x:v>
      </x:c>
      <x:c r="C38" s="10" t="str">
        <x:v>EU-A</x:v>
      </x:c>
      <x:c r="D38" s="10" t="str">
        <x:v>CMA CGM Group</x:v>
      </x:c>
      <x:c r="E38" s="10" t="str">
        <x:v>CMA CGM</x:v>
      </x:c>
      <x:c r="F38" s="10" t="str">
        <x:v>CMA CGM LOUVRE</x:v>
      </x:c>
      <x:c r="G38" s="10" t="str"/>
      <x:c r="H38" s="10" t="str">
        <x:v>2024-01-31</x:v>
      </x:c>
      <x:c r="I38" s="10" t="n">
        <x:v>2024</x:v>
      </x:c>
      <x:c r="J38" s="10" t="str">
        <x:v>FAL3</x:v>
      </x:c>
      <x:c r="K38" s="10" t="str">
        <x:v>Terminal de France</x:v>
      </x:c>
      <x:c r="L38" s="10" t="str">
        <x:v>B1</x:v>
      </x:c>
      <x:c r="M38" s="10" t="str">
        <x:v>https://www.cma-cgm.com/ebusiness/schedules/voyage/detail?voyageReference=0FMEYW1MA</x:v>
      </x:c>
      <x:c r="N38" s="10" t="str">
        <x:v>Voyage historique CMA CGM.</x:v>
      </x:c>
    </x:row>
    <x:row r="39">
      <x:c r="A39" s="10" t="str">
        <x:v>CMA CGM Group</x:v>
      </x:c>
      <x:c r="B39" s="10" t="str">
        <x:v>Référentiel V4</x:v>
      </x:c>
      <x:c r="C39" s="10" t="str">
        <x:v>EU-A</x:v>
      </x:c>
      <x:c r="D39" s="10" t="str">
        <x:v>CMA CGM Group</x:v>
      </x:c>
      <x:c r="E39" s="10" t="str">
        <x:v>CMA CGM</x:v>
      </x:c>
      <x:c r="F39" s="10" t="str">
        <x:v>CMA CGM MARSEILLE</x:v>
      </x:c>
      <x:c r="G39" s="10" t="str"/>
      <x:c r="H39" s="10" t="str">
        <x:v>2023-02-19</x:v>
      </x:c>
      <x:c r="I39" s="10" t="n">
        <x:v>2023</x:v>
      </x:c>
      <x:c r="J39" s="10" t="str">
        <x:v>Service CMA CGM</x:v>
      </x:c>
      <x:c r="K39" s="10" t="str">
        <x:v>Le Havre</x:v>
      </x:c>
      <x:c r="L39" s="10" t="str">
        <x:v>C</x:v>
      </x:c>
      <x:c r="M39" s="10" t="str">
        <x:v>https://www.marine-marchande.net/Jourlejour4/AujourleJour-521.html</x:v>
      </x:c>
      <x:c r="N39" s="10" t="str">
        <x:v>Mouvement portuaire daté.</x:v>
      </x:c>
    </x:row>
    <x:row r="40">
      <x:c r="A40" s="10" t="str">
        <x:v>CMA CGM Group</x:v>
      </x:c>
      <x:c r="B40" s="10" t="str">
        <x:v>Référentiel V4</x:v>
      </x:c>
      <x:c r="C40" s="10" t="str">
        <x:v>EU-A</x:v>
      </x:c>
      <x:c r="D40" s="10" t="str">
        <x:v>CMA CGM Group</x:v>
      </x:c>
      <x:c r="E40" s="10" t="str">
        <x:v>CMA CGM</x:v>
      </x:c>
      <x:c r="F40" s="10" t="str">
        <x:v>CMA CGM MOLIERE</x:v>
      </x:c>
      <x:c r="G40" s="10" t="str"/>
      <x:c r="H40" s="10" t="str">
        <x:v>2024-04-09</x:v>
      </x:c>
      <x:c r="I40" s="10" t="n">
        <x:v>2024</x:v>
      </x:c>
      <x:c r="J40" s="10" t="str">
        <x:v>Service CMA CGM</x:v>
      </x:c>
      <x:c r="K40" s="10" t="str">
        <x:v>Le Havre</x:v>
      </x:c>
      <x:c r="L40" s="10" t="str">
        <x:v>C</x:v>
      </x:c>
      <x:c r="M40" s="10" t="str">
        <x:v>https://www.marine-marchande.net/Jourlejour4/AujourleJour-535.html</x:v>
      </x:c>
      <x:c r="N40" s="10" t="str">
        <x:v>Mouvement portuaire daté.</x:v>
      </x:c>
    </x:row>
    <x:row r="41">
      <x:c r="A41" s="10" t="str">
        <x:v>CMA CGM Group</x:v>
      </x:c>
      <x:c r="B41" s="10" t="str">
        <x:v>Référentiel V4</x:v>
      </x:c>
      <x:c r="C41" s="10" t="str">
        <x:v>EU-A</x:v>
      </x:c>
      <x:c r="D41" s="10" t="str">
        <x:v>CMA CGM Group</x:v>
      </x:c>
      <x:c r="E41" s="10" t="str">
        <x:v>CMA CGM</x:v>
      </x:c>
      <x:c r="F41" s="10" t="str">
        <x:v>CMA CGM MONTMARTRE</x:v>
      </x:c>
      <x:c r="G41" s="10" t="str"/>
      <x:c r="H41" s="10" t="str">
        <x:v>2024-07-04</x:v>
      </x:c>
      <x:c r="I41" s="10" t="n">
        <x:v>2024</x:v>
      </x:c>
      <x:c r="J41" s="10" t="str">
        <x:v>Asie-Europe</x:v>
      </x:c>
      <x:c r="K41" s="10" t="str">
        <x:v>Le Havre</x:v>
      </x:c>
      <x:c r="L41" s="10" t="str">
        <x:v>C</x:v>
      </x:c>
      <x:c r="M41" s="10" t="str">
        <x:v>https://www.marine-marchande.net/Jourlejour4/AujourleJour-539.html</x:v>
      </x:c>
      <x:c r="N41" s="10" t="str">
        <x:v>Présence havraise documentée.</x:v>
      </x:c>
    </x:row>
    <x:row r="42">
      <x:c r="A42" s="10" t="str">
        <x:v>CMA CGM Group</x:v>
      </x:c>
      <x:c r="B42" s="10" t="str">
        <x:v>Référentiel V4</x:v>
      </x:c>
      <x:c r="C42" s="10" t="str">
        <x:v>EU-A</x:v>
      </x:c>
      <x:c r="D42" s="10" t="str">
        <x:v>CMA CGM Group</x:v>
      </x:c>
      <x:c r="E42" s="10" t="str">
        <x:v>CMA CGM</x:v>
      </x:c>
      <x:c r="F42" s="10" t="str">
        <x:v>CMA CGM MOZART</x:v>
      </x:c>
      <x:c r="G42" s="10" t="str"/>
      <x:c r="H42" s="10" t="str">
        <x:v>2024-07-04</x:v>
      </x:c>
      <x:c r="I42" s="10" t="n">
        <x:v>2024</x:v>
      </x:c>
      <x:c r="J42" s="10" t="str">
        <x:v>Service CMA CGM</x:v>
      </x:c>
      <x:c r="K42" s="10" t="str">
        <x:v>Le Havre</x:v>
      </x:c>
      <x:c r="L42" s="10" t="str">
        <x:v>C</x:v>
      </x:c>
      <x:c r="M42" s="10" t="str">
        <x:v>https://www.marine-marchande.net/Jourlejour4/AujourleJour-539.html</x:v>
      </x:c>
      <x:c r="N42" s="10" t="str">
        <x:v>Mouvement portuaire daté.</x:v>
      </x:c>
    </x:row>
    <x:row r="43">
      <x:c r="A43" s="10" t="str">
        <x:v>CMA CGM Group</x:v>
      </x:c>
      <x:c r="B43" s="10" t="str">
        <x:v>Référentiel V4</x:v>
      </x:c>
      <x:c r="C43" s="10" t="str">
        <x:v>EU-A</x:v>
      </x:c>
      <x:c r="D43" s="10" t="str">
        <x:v>CMA CGM Group</x:v>
      </x:c>
      <x:c r="E43" s="10" t="str">
        <x:v>CMA CGM</x:v>
      </x:c>
      <x:c r="F43" s="10" t="str">
        <x:v>CMA CGM NANSHA</x:v>
      </x:c>
      <x:c r="G43" s="10" t="str">
        <x:v>9538658</x:v>
      </x:c>
      <x:c r="H43" s="10" t="str">
        <x:v>2026-04</x:v>
      </x:c>
      <x:c r="I43" s="10" t="n">
        <x:v>2026</x:v>
      </x:c>
      <x:c r="J43" s="10" t="str">
        <x:v>Service CMA CGM</x:v>
      </x:c>
      <x:c r="K43" s="10" t="str">
        <x:v>Le Havre</x:v>
      </x:c>
      <x:c r="L43" s="10" t="str">
        <x:v>C</x:v>
      </x:c>
      <x:c r="M43" s="10" t="str">
        <x:v>https://www.marine-marchande.net/Jourlejour4/AujourleJour-559.html</x:v>
      </x:c>
      <x:c r="N43" s="10" t="str">
        <x:v>Présence havraise documentée début avril 2026.</x:v>
      </x:c>
    </x:row>
    <x:row r="44">
      <x:c r="A44" s="10" t="str">
        <x:v>CMA CGM Group</x:v>
      </x:c>
      <x:c r="B44" s="10" t="str">
        <x:v>Référentiel V4</x:v>
      </x:c>
      <x:c r="C44" s="10" t="str">
        <x:v>EU-A</x:v>
      </x:c>
      <x:c r="D44" s="10" t="str">
        <x:v>CMA CGM Group</x:v>
      </x:c>
      <x:c r="E44" s="10" t="str">
        <x:v>CMA CGM</x:v>
      </x:c>
      <x:c r="F44" s="10" t="str">
        <x:v>CMA CGM PALAIS ROYAL</x:v>
      </x:c>
      <x:c r="G44" s="10" t="str"/>
      <x:c r="H44" s="10" t="str">
        <x:v>2024-10-23</x:v>
      </x:c>
      <x:c r="I44" s="10" t="n">
        <x:v>2024</x:v>
      </x:c>
      <x:c r="J44" s="10" t="str">
        <x:v>FAL</x:v>
      </x:c>
      <x:c r="K44" s="10" t="str">
        <x:v>Terminal de France</x:v>
      </x:c>
      <x:c r="L44" s="10" t="str">
        <x:v>B1</x:v>
      </x:c>
      <x:c r="M44" s="10" t="str">
        <x:v>https://www.cma-cgm.com/ebusiness/schedules/voyage/detail?voyageReference=0FMGZE1MA</x:v>
      </x:c>
      <x:c r="N44" s="10" t="str">
        <x:v>Voyage historique CMA CGM.</x:v>
      </x:c>
    </x:row>
    <x:row r="45">
      <x:c r="A45" s="10" t="str">
        <x:v>CMA CGM Group</x:v>
      </x:c>
      <x:c r="B45" s="10" t="str">
        <x:v>Référentiel V4</x:v>
      </x:c>
      <x:c r="C45" s="10" t="str">
        <x:v>EU-A</x:v>
      </x:c>
      <x:c r="D45" s="10" t="str">
        <x:v>CMA CGM Group</x:v>
      </x:c>
      <x:c r="E45" s="10" t="str">
        <x:v>CMA CGM</x:v>
      </x:c>
      <x:c r="F45" s="10" t="str">
        <x:v>CMA CGM PHOENIX</x:v>
      </x:c>
      <x:c r="G45" s="10" t="str"/>
      <x:c r="H45" s="10" t="str">
        <x:v>2026-04-15</x:v>
      </x:c>
      <x:c r="I45" s="10" t="n">
        <x:v>2026</x:v>
      </x:c>
      <x:c r="J45" s="10" t="str">
        <x:v>Asie-Europe</x:v>
      </x:c>
      <x:c r="K45" s="10" t="str">
        <x:v>Port 2000</x:v>
      </x:c>
      <x:c r="L45" s="10" t="str">
        <x:v>C</x:v>
      </x:c>
      <x:c r="M45" s="10" t="str">
        <x:v>https://www.marine-marchande.net/Jourlejour4/AujourleJour-560.html</x:v>
      </x:c>
      <x:c r="N45" s="10" t="str">
        <x:v>Présence documentée mi-avril 2026.</x:v>
      </x:c>
    </x:row>
    <x:row r="46">
      <x:c r="A46" s="10" t="str">
        <x:v>CMA CGM Group</x:v>
      </x:c>
      <x:c r="B46" s="10" t="str">
        <x:v>Référentiel V4</x:v>
      </x:c>
      <x:c r="C46" s="10" t="str">
        <x:v>EU-A</x:v>
      </x:c>
      <x:c r="D46" s="10" t="str">
        <x:v>CMA CGM Group</x:v>
      </x:c>
      <x:c r="E46" s="10" t="str">
        <x:v>CMA CGM</x:v>
      </x:c>
      <x:c r="F46" s="10" t="str">
        <x:v>CMA CGM RIVOLI</x:v>
      </x:c>
      <x:c r="G46" s="10" t="str"/>
      <x:c r="H46" s="10" t="str">
        <x:v>2024-06-30</x:v>
      </x:c>
      <x:c r="I46" s="10" t="n">
        <x:v>2024</x:v>
      </x:c>
      <x:c r="J46" s="10" t="str">
        <x:v>FAL</x:v>
      </x:c>
      <x:c r="K46" s="10" t="str">
        <x:v>Terminal de France</x:v>
      </x:c>
      <x:c r="L46" s="10" t="str">
        <x:v>B1</x:v>
      </x:c>
      <x:c r="M46" s="10" t="str">
        <x:v>https://www.cma-cgm.com/ebusiness/schedules/voyage/detail?voyageReference=0FMFKE1MA</x:v>
      </x:c>
      <x:c r="N46" s="10" t="str">
        <x:v>Voyage historique CMA CGM.</x:v>
      </x:c>
    </x:row>
    <x:row r="47">
      <x:c r="A47" s="10" t="str">
        <x:v>CMA CGM Group</x:v>
      </x:c>
      <x:c r="B47" s="10" t="str">
        <x:v>Référentiel V4</x:v>
      </x:c>
      <x:c r="C47" s="10" t="str">
        <x:v>EU-A</x:v>
      </x:c>
      <x:c r="D47" s="10" t="str">
        <x:v>CMA CGM Group</x:v>
      </x:c>
      <x:c r="E47" s="10" t="str">
        <x:v>CMA CGM</x:v>
      </x:c>
      <x:c r="F47" s="10" t="str">
        <x:v>CMA CGM SAINT GERMAIN</x:v>
      </x:c>
      <x:c r="G47" s="10" t="str">
        <x:v>9987201</x:v>
      </x:c>
      <x:c r="H47" s="10" t="str">
        <x:v>2025-07-23</x:v>
      </x:c>
      <x:c r="I47" s="10" t="n">
        <x:v>2025</x:v>
      </x:c>
      <x:c r="J47" s="10" t="str">
        <x:v>Asie-Europe</x:v>
      </x:c>
      <x:c r="K47" s="10" t="str">
        <x:v>Port 2000</x:v>
      </x:c>
      <x:c r="L47" s="10" t="str">
        <x:v>C</x:v>
      </x:c>
      <x:c r="M47" s="10" t="str">
        <x:v>https://www.marine-marchande.net/Jourlejour4/AujourleJour-552.html</x:v>
      </x:c>
      <x:c r="N47" s="10" t="str">
        <x:v>Observation portuaire datée.</x:v>
      </x:c>
    </x:row>
    <x:row r="48">
      <x:c r="A48" s="10" t="str">
        <x:v>CMA CGM Group</x:v>
      </x:c>
      <x:c r="B48" s="10" t="str">
        <x:v>Référentiel V4</x:v>
      </x:c>
      <x:c r="C48" s="10" t="str">
        <x:v>EU-A</x:v>
      </x:c>
      <x:c r="D48" s="10" t="str">
        <x:v>CMA CGM Group</x:v>
      </x:c>
      <x:c r="E48" s="10" t="str">
        <x:v>CMA CGM</x:v>
      </x:c>
      <x:c r="F48" s="10" t="str">
        <x:v>CMA CGM SAINT LAURENT</x:v>
      </x:c>
      <x:c r="G48" s="10" t="str"/>
      <x:c r="H48" s="10" t="str">
        <x:v>2026-03-27</x:v>
      </x:c>
      <x:c r="I48" s="10" t="n">
        <x:v>2026</x:v>
      </x:c>
      <x:c r="J48" s="10" t="str">
        <x:v>Asie-Europe</x:v>
      </x:c>
      <x:c r="K48" s="10" t="str">
        <x:v>Port 2000</x:v>
      </x:c>
      <x:c r="L48" s="10" t="str">
        <x:v>C</x:v>
      </x:c>
      <x:c r="M48" s="10" t="str">
        <x:v>https://www.marine-marchande.net/Jourlejour4/AujourleJour-559.html</x:v>
      </x:c>
      <x:c r="N48" s="10" t="str">
        <x:v>Observation portuaire datée.</x:v>
      </x:c>
    </x:row>
    <x:row r="49">
      <x:c r="A49" s="10" t="str">
        <x:v>CMA CGM Group</x:v>
      </x:c>
      <x:c r="B49" s="10" t="str">
        <x:v>Référentiel V4</x:v>
      </x:c>
      <x:c r="C49" s="10" t="str">
        <x:v>EU-A</x:v>
      </x:c>
      <x:c r="D49" s="10" t="str">
        <x:v>CMA CGM Group</x:v>
      </x:c>
      <x:c r="E49" s="10" t="str">
        <x:v>CMA CGM</x:v>
      </x:c>
      <x:c r="F49" s="10" t="str">
        <x:v>CMA CGM SEINE</x:v>
      </x:c>
      <x:c r="G49" s="10" t="str">
        <x:v>9987196</x:v>
      </x:c>
      <x:c r="H49" s="10" t="str">
        <x:v>2025-06-02</x:v>
      </x:c>
      <x:c r="I49" s="10" t="n">
        <x:v>2025</x:v>
      </x:c>
      <x:c r="J49" s="10" t="str">
        <x:v>FAL / Asie-Europe</x:v>
      </x:c>
      <x:c r="K49" s="10" t="str">
        <x:v>Terminal de France</x:v>
      </x:c>
      <x:c r="L49" s="10" t="str">
        <x:v>B1</x:v>
      </x:c>
      <x:c r="M49" s="10" t="str">
        <x:v>https://www.cma-cgm.com/ebusiness/schedules/voyage/detail?voyageReference=0FMJHE1MA</x:v>
      </x:c>
      <x:c r="N49" s="10" t="str">
        <x:v>Voyage officiel CMA CGM.</x:v>
      </x:c>
    </x:row>
    <x:row r="50">
      <x:c r="A50" s="10" t="str">
        <x:v>CMA CGM Group</x:v>
      </x:c>
      <x:c r="B50" s="10" t="str">
        <x:v>Référentiel V4</x:v>
      </x:c>
      <x:c r="C50" s="10" t="str">
        <x:v>EU-A</x:v>
      </x:c>
      <x:c r="D50" s="10" t="str">
        <x:v>CMA CGM Group</x:v>
      </x:c>
      <x:c r="E50" s="10" t="str">
        <x:v>CMA CGM</x:v>
      </x:c>
      <x:c r="F50" s="10" t="str">
        <x:v>CMA CGM SINNAMARY</x:v>
      </x:c>
      <x:c r="G50" s="10" t="str"/>
      <x:c r="H50" s="10" t="str">
        <x:v>2024-06-03</x:v>
      </x:c>
      <x:c r="I50" s="10" t="n">
        <x:v>2024</x:v>
      </x:c>
      <x:c r="J50" s="10" t="str">
        <x:v>Europe / Antilles</x:v>
      </x:c>
      <x:c r="K50" s="10" t="str">
        <x:v>Le Havre</x:v>
      </x:c>
      <x:c r="L50" s="10" t="str">
        <x:v>C</x:v>
      </x:c>
      <x:c r="M50" s="10" t="str">
        <x:v>https://www.marine-marchande.net/Jourlejour4/AujourleJour-537.html</x:v>
      </x:c>
      <x:c r="N50" s="10" t="str">
        <x:v>Observation portuaire datée.</x:v>
      </x:c>
    </x:row>
    <x:row r="51">
      <x:c r="A51" s="10" t="str">
        <x:v>CMA CGM Group</x:v>
      </x:c>
      <x:c r="B51" s="10" t="str">
        <x:v>Référentiel V4</x:v>
      </x:c>
      <x:c r="C51" s="10" t="str">
        <x:v>EU-A</x:v>
      </x:c>
      <x:c r="D51" s="10" t="str">
        <x:v>CMA CGM Group</x:v>
      </x:c>
      <x:c r="E51" s="10" t="str">
        <x:v>CMA CGM</x:v>
      </x:c>
      <x:c r="F51" s="10" t="str">
        <x:v>CMA CGM SORBONNE</x:v>
      </x:c>
      <x:c r="G51" s="10" t="str"/>
      <x:c r="H51" s="10" t="str">
        <x:v>2024-11-25</x:v>
      </x:c>
      <x:c r="I51" s="10" t="n">
        <x:v>2024</x:v>
      </x:c>
      <x:c r="J51" s="10" t="str">
        <x:v>Asie-Europe</x:v>
      </x:c>
      <x:c r="K51" s="10" t="str">
        <x:v>Le Havre</x:v>
      </x:c>
      <x:c r="L51" s="10" t="str">
        <x:v>C</x:v>
      </x:c>
      <x:c r="M51" s="10" t="str">
        <x:v>https://www.marine-marchande.net/Jourlejour4/AujourleJour-542.html</x:v>
      </x:c>
      <x:c r="N51" s="10" t="str">
        <x:v>Présence physique au Havre documentée.</x:v>
      </x:c>
    </x:row>
    <x:row r="52">
      <x:c r="A52" s="10" t="str">
        <x:v>CMA CGM Group</x:v>
      </x:c>
      <x:c r="B52" s="10" t="str">
        <x:v>Référentiel V4</x:v>
      </x:c>
      <x:c r="C52" s="10" t="str">
        <x:v>EU-A</x:v>
      </x:c>
      <x:c r="D52" s="10" t="str">
        <x:v>CMA CGM Group</x:v>
      </x:c>
      <x:c r="E52" s="10" t="str">
        <x:v>CMA CGM</x:v>
      </x:c>
      <x:c r="F52" s="10" t="str">
        <x:v>CMA CGM TITAN</x:v>
      </x:c>
      <x:c r="G52" s="10" t="str"/>
      <x:c r="H52" s="10" t="str">
        <x:v>2024-01-11</x:v>
      </x:c>
      <x:c r="I52" s="10" t="n">
        <x:v>2024</x:v>
      </x:c>
      <x:c r="J52" s="10" t="str">
        <x:v>FAL</x:v>
      </x:c>
      <x:c r="K52" s="10" t="str">
        <x:v>Terminal de France</x:v>
      </x:c>
      <x:c r="L52" s="10" t="str">
        <x:v>B1</x:v>
      </x:c>
      <x:c r="M52" s="10" t="str">
        <x:v>https://www.cma-cgm.com/ebusiness/schedules/voyage/detail?voyageReference=0FMEEW1MA</x:v>
      </x:c>
      <x:c r="N52" s="10" t="str">
        <x:v>Voyage historique CMA CGM.</x:v>
      </x:c>
    </x:row>
    <x:row r="53">
      <x:c r="A53" s="10" t="str">
        <x:v>CMA CGM Group</x:v>
      </x:c>
      <x:c r="B53" s="10" t="str">
        <x:v>Référentiel V4</x:v>
      </x:c>
      <x:c r="C53" s="10" t="str">
        <x:v>EU-A</x:v>
      </x:c>
      <x:c r="D53" s="10" t="str">
        <x:v>CMA CGM Group</x:v>
      </x:c>
      <x:c r="E53" s="10" t="str">
        <x:v>CMA CGM</x:v>
      </x:c>
      <x:c r="F53" s="10" t="str">
        <x:v>CMA CGM TROCADERO</x:v>
      </x:c>
      <x:c r="G53" s="10" t="str"/>
      <x:c r="H53" s="10" t="str">
        <x:v>2024-01-24</x:v>
      </x:c>
      <x:c r="I53" s="10" t="n">
        <x:v>2024</x:v>
      </x:c>
      <x:c r="J53" s="10" t="str">
        <x:v>FAL3</x:v>
      </x:c>
      <x:c r="K53" s="10" t="str">
        <x:v>Terminal de France</x:v>
      </x:c>
      <x:c r="L53" s="10" t="str">
        <x:v>B1</x:v>
      </x:c>
      <x:c r="M53" s="10" t="str">
        <x:v>https://www.cma-cgm.com/ebusiness/schedules/voyage/detail?voyageReference=0FMERW1MA</x:v>
      </x:c>
      <x:c r="N53" s="10" t="str">
        <x:v>Voyage historique CMA CGM.</x:v>
      </x:c>
    </x:row>
    <x:row r="54">
      <x:c r="A54" s="10" t="str">
        <x:v>CMA CGM Group</x:v>
      </x:c>
      <x:c r="B54" s="10" t="str">
        <x:v>Référentiel V4</x:v>
      </x:c>
      <x:c r="C54" s="10" t="str">
        <x:v>EU-A</x:v>
      </x:c>
      <x:c r="D54" s="10" t="str">
        <x:v>CMA CGM Group</x:v>
      </x:c>
      <x:c r="E54" s="10" t="str">
        <x:v>CMA CGM</x:v>
      </x:c>
      <x:c r="F54" s="10" t="str">
        <x:v>CMA CGM WHITE</x:v>
      </x:c>
      <x:c r="G54" s="10" t="str"/>
      <x:c r="H54" s="10" t="str">
        <x:v>2025-03-22</x:v>
      </x:c>
      <x:c r="I54" s="10" t="n">
        <x:v>2025</x:v>
      </x:c>
      <x:c r="J54" s="10" t="str">
        <x:v>Asie-Europe</x:v>
      </x:c>
      <x:c r="K54" s="10" t="str">
        <x:v>Port 2000</x:v>
      </x:c>
      <x:c r="L54" s="10" t="str">
        <x:v>C</x:v>
      </x:c>
      <x:c r="M54" s="10" t="str">
        <x:v>https://www.marine-marchande.net/Jourlejour4/AujourleJour-548.html</x:v>
      </x:c>
      <x:c r="N54" s="10" t="str">
        <x:v>Présence au Havre documentée sur la séquence du 22–25/03/2025.</x:v>
      </x:c>
    </x:row>
    <x:row r="55">
      <x:c r="A55" s="10" t="str">
        <x:v>CMA CGM Group</x:v>
      </x:c>
      <x:c r="B55" s="10" t="str">
        <x:v>Référentiel V4</x:v>
      </x:c>
      <x:c r="C55" s="10" t="str">
        <x:v>EU-A</x:v>
      </x:c>
      <x:c r="D55" s="10" t="str">
        <x:v>CMA CGM Group</x:v>
      </x:c>
      <x:c r="E55" s="10" t="str">
        <x:v>CMA CGM</x:v>
      </x:c>
      <x:c r="F55" s="10" t="str">
        <x:v>CMA CGM ZHENG HE</x:v>
      </x:c>
      <x:c r="G55" s="10" t="str"/>
      <x:c r="H55" s="10" t="str">
        <x:v>2023-08-08</x:v>
      </x:c>
      <x:c r="I55" s="10" t="n">
        <x:v>2023</x:v>
      </x:c>
      <x:c r="J55" s="10" t="str">
        <x:v>FAL / Asie-Europe</x:v>
      </x:c>
      <x:c r="K55" s="10" t="str">
        <x:v>Port 2000</x:v>
      </x:c>
      <x:c r="L55" s="10" t="str">
        <x:v>C</x:v>
      </x:c>
      <x:c r="M55" s="10" t="str">
        <x:v>https://www.marine-marchande.net/Jourlejour4/AujourleJour-527.html</x:v>
      </x:c>
      <x:c r="N55" s="10" t="str">
        <x:v>Observation portuaire datée.</x:v>
      </x:c>
    </x:row>
    <x:row r="56">
      <x:c r="A56" s="10" t="str">
        <x:v>CMA CGM Group</x:v>
      </x:c>
      <x:c r="B56" s="10" t="str">
        <x:v>Référentiel V4</x:v>
      </x:c>
      <x:c r="C56" s="10" t="str">
        <x:v>EU-A</x:v>
      </x:c>
      <x:c r="D56" s="10" t="str">
        <x:v>CMA CGM Group</x:v>
      </x:c>
      <x:c r="E56" s="10" t="str">
        <x:v>CMA CGM / feeder affrété</x:v>
      </x:c>
      <x:c r="F56" s="10" t="str">
        <x:v>HEINRICH EHLER</x:v>
      </x:c>
      <x:c r="G56" s="10" t="str"/>
      <x:c r="H56" s="10" t="str">
        <x:v>2026-09-13</x:v>
      </x:c>
      <x:c r="I56" s="10" t="n">
        <x:v>2026</x:v>
      </x:c>
      <x:c r="J56" s="10" t="str">
        <x:v>ATLFEED</x:v>
      </x:c>
      <x:c r="K56" s="10" t="str">
        <x:v>Le Havre</x:v>
      </x:c>
      <x:c r="L56" s="10" t="str">
        <x:v>B1</x:v>
      </x:c>
      <x:c r="M56" s="10" t="str">
        <x:v>https://www.cma-cgm.com/ebusiness/schedules/port/export?countryCode=FR&amp;portCode=FRLEH&amp;portName=LE%20HAVRE&amp;isDeparture=True&amp;fileType=pdf</x:v>
      </x:c>
      <x:c r="N56" s="10" t="str">
        <x:v>Schedule CMA CGM Le Havre.</x:v>
      </x:c>
    </x:row>
    <x:row r="57">
      <x:c r="A57" s="10" t="str">
        <x:v>CMA CGM Group</x:v>
      </x:c>
      <x:c r="B57" s="10" t="str">
        <x:v>Référentiel V4</x:v>
      </x:c>
      <x:c r="C57" s="10" t="str">
        <x:v>EU-A</x:v>
      </x:c>
      <x:c r="D57" s="10" t="str">
        <x:v>CMA CGM Group</x:v>
      </x:c>
      <x:c r="E57" s="10" t="str">
        <x:v>CMA CGM / feeder affrété</x:v>
      </x:c>
      <x:c r="F57" s="10" t="str">
        <x:v>VERA RAMBOW</x:v>
      </x:c>
      <x:c r="G57" s="10" t="str"/>
      <x:c r="H57" s="10" t="str">
        <x:v>2026-04-13</x:v>
      </x:c>
      <x:c r="I57" s="10" t="n">
        <x:v>2026</x:v>
      </x:c>
      <x:c r="J57" s="10" t="str">
        <x:v>ATLFEED</x:v>
      </x:c>
      <x:c r="K57" s="10" t="str">
        <x:v>Le Havre</x:v>
      </x:c>
      <x:c r="L57" s="10" t="str">
        <x:v>C</x:v>
      </x:c>
      <x:c r="M57" s="10" t="str">
        <x:v>https://www.marine-marchande.net/Jourlejour4/AujourleJour-560.html</x:v>
      </x:c>
      <x:c r="N57" s="10" t="str">
        <x:v>Feeder régulier du réseau CMA CGM.</x:v>
      </x:c>
    </x:row>
    <x:row r="58">
      <x:c r="A58" s="10" t="str">
        <x:v>CMA CGM Group</x:v>
      </x:c>
      <x:c r="B58" s="10" t="str">
        <x:v>Référentiel V4</x:v>
      </x:c>
      <x:c r="C58" s="10" t="str">
        <x:v>EU-A</x:v>
      </x:c>
      <x:c r="D58" s="10" t="str">
        <x:v>CMA CGM Group</x:v>
      </x:c>
      <x:c r="E58" s="10" t="str">
        <x:v>CMA CGM / navire affrété</x:v>
      </x:c>
      <x:c r="F58" s="10" t="str">
        <x:v>BUXCLIFF</x:v>
      </x:c>
      <x:c r="G58" s="10" t="str"/>
      <x:c r="H58" s="10" t="str">
        <x:v>2023-12-01</x:v>
      </x:c>
      <x:c r="I58" s="10" t="n">
        <x:v>2023</x:v>
      </x:c>
      <x:c r="J58" s="10" t="str">
        <x:v>Victory Bridge</x:v>
      </x:c>
      <x:c r="K58" s="10" t="str">
        <x:v>Le Havre</x:v>
      </x:c>
      <x:c r="L58" s="10" t="str">
        <x:v>B1</x:v>
      </x:c>
      <x:c r="M58" s="10" t="str">
        <x:v>https://www.cma-cgm.com/ebusiness/schedules/voyage/detail?voyageReference=0VBH6W1MA</x:v>
      </x:c>
      <x:c r="N58" s="10" t="str">
        <x:v>Navire affrété sur service CMA CGM.</x:v>
      </x:c>
    </x:row>
    <x:row r="59">
      <x:c r="A59" s="10" t="str">
        <x:v>CMA CGM Group</x:v>
      </x:c>
      <x:c r="B59" s="10" t="str">
        <x:v>Référentiel V4</x:v>
      </x:c>
      <x:c r="C59" s="10" t="str">
        <x:v>EU-A</x:v>
      </x:c>
      <x:c r="D59" s="10" t="str">
        <x:v>CMA CGM Group</x:v>
      </x:c>
      <x:c r="E59" s="10" t="str">
        <x:v>CMA CGM / navire affrété</x:v>
      </x:c>
      <x:c r="F59" s="10" t="str">
        <x:v>EM HYDRA</x:v>
      </x:c>
      <x:c r="G59" s="10" t="str">
        <x:v>9338967</x:v>
      </x:c>
      <x:c r="H59" s="10" t="str">
        <x:v>2025-07</x:v>
      </x:c>
      <x:c r="I59" s="10" t="n">
        <x:v>2025</x:v>
      </x:c>
      <x:c r="J59" s="10" t="str">
        <x:v>Service CMA CGM</x:v>
      </x:c>
      <x:c r="K59" s="10" t="str">
        <x:v>Le Havre</x:v>
      </x:c>
      <x:c r="L59" s="10" t="str">
        <x:v>C</x:v>
      </x:c>
      <x:c r="M59" s="10" t="str">
        <x:v>https://www.marine-marchande.net/Jourlejour4/AujourleJour-551.html</x:v>
      </x:c>
      <x:c r="N59" s="10" t="str">
        <x:v>Présence havraise documentée.</x:v>
      </x:c>
    </x:row>
    <x:row r="60">
      <x:c r="A60" s="10" t="str">
        <x:v>CMA CGM Group</x:v>
      </x:c>
      <x:c r="B60" s="10" t="str">
        <x:v>Référentiel V4</x:v>
      </x:c>
      <x:c r="C60" s="10" t="str">
        <x:v>EU-A</x:v>
      </x:c>
      <x:c r="D60" s="10" t="str">
        <x:v>CMA CGM Group</x:v>
      </x:c>
      <x:c r="E60" s="10" t="str">
        <x:v>CMA CGM / navire affrété</x:v>
      </x:c>
      <x:c r="F60" s="10" t="str">
        <x:v>KESTREL</x:v>
      </x:c>
      <x:c r="G60" s="10" t="str">
        <x:v>9626558</x:v>
      </x:c>
      <x:c r="H60" s="10" t="str">
        <x:v>2024-12-01</x:v>
      </x:c>
      <x:c r="I60" s="10" t="n">
        <x:v>2024</x:v>
      </x:c>
      <x:c r="J60" s="10" t="str">
        <x:v>Service CMA CGM</x:v>
      </x:c>
      <x:c r="K60" s="10" t="str">
        <x:v>Le Havre</x:v>
      </x:c>
      <x:c r="L60" s="10" t="str">
        <x:v>C</x:v>
      </x:c>
      <x:c r="M60" s="10" t="str">
        <x:v>https://www.marine-marchande.net/Jourlejour4/AujourleJour-543.html</x:v>
      </x:c>
      <x:c r="N60" s="10" t="str">
        <x:v>Première escale havraise documentée.</x:v>
      </x:c>
    </x:row>
    <x:row r="61">
      <x:c r="A61" s="10" t="str">
        <x:v>CMA CGM Group</x:v>
      </x:c>
      <x:c r="B61" s="10" t="str">
        <x:v>Référentiel V4</x:v>
      </x:c>
      <x:c r="C61" s="10" t="str">
        <x:v>EU-A</x:v>
      </x:c>
      <x:c r="D61" s="10" t="str">
        <x:v>CMA CGM Group</x:v>
      </x:c>
      <x:c r="E61" s="10" t="str">
        <x:v>CMA CGM / navire affrété</x:v>
      </x:c>
      <x:c r="F61" s="10" t="str">
        <x:v>MANDALAY</x:v>
      </x:c>
      <x:c r="G61" s="10" t="str"/>
      <x:c r="H61" s="10" t="str">
        <x:v>2024-02-03</x:v>
      </x:c>
      <x:c r="I61" s="10" t="n">
        <x:v>2024</x:v>
      </x:c>
      <x:c r="J61" s="10" t="str">
        <x:v>Panama Direct</x:v>
      </x:c>
      <x:c r="K61" s="10" t="str">
        <x:v>Le Havre</x:v>
      </x:c>
      <x:c r="L61" s="10" t="str">
        <x:v>B1</x:v>
      </x:c>
      <x:c r="M61" s="10" t="str">
        <x:v>https://www.cma-cgm.com/ebusiness/schedules/voyage/detail?voyageReference=0PGGOW1MA</x:v>
      </x:c>
      <x:c r="N61" s="10" t="str">
        <x:v>Navire affrété sur service CMA CGM.</x:v>
      </x:c>
    </x:row>
    <x:row r="62">
      <x:c r="A62" s="10" t="str">
        <x:v>CMA CGM Group</x:v>
      </x:c>
      <x:c r="B62" s="10" t="str">
        <x:v>Référentiel V4</x:v>
      </x:c>
      <x:c r="C62" s="10" t="str">
        <x:v>EU-A</x:v>
      </x:c>
      <x:c r="D62" s="10" t="str">
        <x:v>CMA CGM Group</x:v>
      </x:c>
      <x:c r="E62" s="10" t="str">
        <x:v>CMA CGM / navire affrété</x:v>
      </x:c>
      <x:c r="F62" s="10" t="str">
        <x:v>MATHILDE SCHULTE</x:v>
      </x:c>
      <x:c r="G62" s="10" t="str">
        <x:v>9676709</x:v>
      </x:c>
      <x:c r="H62" s="10" t="str">
        <x:v>2024-03-14</x:v>
      </x:c>
      <x:c r="I62" s="10" t="n">
        <x:v>2024</x:v>
      </x:c>
      <x:c r="J62" s="10" t="str">
        <x:v>Service CMA CGM</x:v>
      </x:c>
      <x:c r="K62" s="10" t="str">
        <x:v>Le Havre</x:v>
      </x:c>
      <x:c r="L62" s="10" t="str">
        <x:v>C</x:v>
      </x:c>
      <x:c r="M62" s="10" t="str">
        <x:v>https://www.marine-marchande.net/Jourlejour4/AujourleJour-534.html</x:v>
      </x:c>
      <x:c r="N62" s="10" t="str">
        <x:v>Mouvement portuaire daté.</x:v>
      </x:c>
    </x:row>
    <x:row r="63">
      <x:c r="A63" s="10" t="str">
        <x:v>CMA CGM Group</x:v>
      </x:c>
      <x:c r="B63" s="10" t="str">
        <x:v>Référentiel V4</x:v>
      </x:c>
      <x:c r="C63" s="10" t="str">
        <x:v>EU-A</x:v>
      </x:c>
      <x:c r="D63" s="10" t="str">
        <x:v>CMA CGM Group</x:v>
      </x:c>
      <x:c r="E63" s="10" t="str">
        <x:v>Containerships</x:v>
      </x:c>
      <x:c r="F63" s="10" t="str">
        <x:v>CONTAINERSHIPS NORD</x:v>
      </x:c>
      <x:c r="G63" s="10" t="str">
        <x:v>9813993</x:v>
      </x:c>
      <x:c r="H63" s="10" t="str">
        <x:v>2026-08-23</x:v>
      </x:c>
      <x:c r="I63" s="10" t="n">
        <x:v>2026</x:v>
      </x:c>
      <x:c r="J63" s="10" t="str">
        <x:v>Shortsea</x:v>
      </x:c>
      <x:c r="K63" s="10" t="str">
        <x:v>Le Havre</x:v>
      </x:c>
      <x:c r="L63" s="10" t="str">
        <x:v>A2</x:v>
      </x:c>
      <x:c r="M63" s="10" t="str">
        <x:v>https://www.vesselfinder.com/vessels/details/9813993</x:v>
      </x:c>
      <x:c r="N63" s="10" t="str">
        <x:v>VesselFinder : escale récente au Havre.</x:v>
      </x:c>
    </x:row>
    <x:row r="64">
      <x:c r="A64" s="10" t="str">
        <x:v>COSCO Shipping Lines / COSCO Group</x:v>
      </x:c>
      <x:c r="B64" s="10" t="str">
        <x:v>Référentiel V4</x:v>
      </x:c>
      <x:c r="C64" s="10" t="str">
        <x:v>EU-A</x:v>
      </x:c>
      <x:c r="D64" s="10" t="str">
        <x:v>COSCO SHIPPING</x:v>
      </x:c>
      <x:c r="E64" s="10" t="str">
        <x:v>COSCO</x:v>
      </x:c>
      <x:c r="F64" s="10" t="str">
        <x:v>COSCO GLORY</x:v>
      </x:c>
      <x:c r="G64" s="10" t="str"/>
      <x:c r="H64" s="10" t="str">
        <x:v>2026-03-03</x:v>
      </x:c>
      <x:c r="I64" s="10" t="n">
        <x:v>2026</x:v>
      </x:c>
      <x:c r="J64" s="10" t="str">
        <x:v>Ocean Alliance</x:v>
      </x:c>
      <x:c r="K64" s="10" t="str">
        <x:v>Le Havre</x:v>
      </x:c>
      <x:c r="L64" s="10" t="str">
        <x:v>C</x:v>
      </x:c>
      <x:c r="M64" s="10" t="str">
        <x:v>https://www.marine-marchande.net/Jourlejour4/AujourleJour-558.html</x:v>
      </x:c>
      <x:c r="N64" s="10" t="str">
        <x:v>Observation portuaire datée.</x:v>
      </x:c>
    </x:row>
    <x:row r="65">
      <x:c r="A65" s="10" t="str">
        <x:v>COSCO Shipping Lines / COSCO Group</x:v>
      </x:c>
      <x:c r="B65" s="10" t="str">
        <x:v>Référentiel V4</x:v>
      </x:c>
      <x:c r="C65" s="10" t="str">
        <x:v>EU-A</x:v>
      </x:c>
      <x:c r="D65" s="10" t="str">
        <x:v>COSCO SHIPPING</x:v>
      </x:c>
      <x:c r="E65" s="10" t="str">
        <x:v>COSCO</x:v>
      </x:c>
      <x:c r="F65" s="10" t="str">
        <x:v>COSCO ITALY</x:v>
      </x:c>
      <x:c r="G65" s="10" t="str"/>
      <x:c r="H65" s="10" t="str">
        <x:v>2024-10-24</x:v>
      </x:c>
      <x:c r="I65" s="10" t="n">
        <x:v>2024</x:v>
      </x:c>
      <x:c r="J65" s="10" t="str">
        <x:v>Ocean Alliance</x:v>
      </x:c>
      <x:c r="K65" s="10" t="str">
        <x:v>Le Havre</x:v>
      </x:c>
      <x:c r="L65" s="10" t="str">
        <x:v>B1</x:v>
      </x:c>
      <x:c r="M65" s="10" t="str">
        <x:v>https://www.oocl.com/korea/eng/localinformation/localnews/2024/PublishingImages/Pages/OOCL-Korea-Newsletter/OOCL%20Korea%20Newsletter%20-%20wk%2036%202024.pdf</x:v>
      </x:c>
      <x:c r="N65" s="10" t="str">
        <x:v>Schedule officiel OOCL/Ocean Alliance.</x:v>
      </x:c>
    </x:row>
    <x:row r="66">
      <x:c r="A66" s="10" t="str">
        <x:v>COSCO Shipping Lines / COSCO Group</x:v>
      </x:c>
      <x:c r="B66" s="10" t="str">
        <x:v>Référentiel V4</x:v>
      </x:c>
      <x:c r="C66" s="10" t="str">
        <x:v>EU-A</x:v>
      </x:c>
      <x:c r="D66" s="10" t="str">
        <x:v>COSCO SHIPPING</x:v>
      </x:c>
      <x:c r="E66" s="10" t="str">
        <x:v>COSCO</x:v>
      </x:c>
      <x:c r="F66" s="10" t="str">
        <x:v>COSCO SHIPPING ALPS</x:v>
      </x:c>
      <x:c r="G66" s="10" t="str"/>
      <x:c r="H66" s="10" t="str">
        <x:v>2024-11-14</x:v>
      </x:c>
      <x:c r="I66" s="10" t="n">
        <x:v>2024</x:v>
      </x:c>
      <x:c r="J66" s="10" t="str">
        <x:v>Ocean Alliance</x:v>
      </x:c>
      <x:c r="K66" s="10" t="str">
        <x:v>Le Havre</x:v>
      </x:c>
      <x:c r="L66" s="10" t="str">
        <x:v>B1</x:v>
      </x:c>
      <x:c r="M66" s="10" t="str">
        <x:v>https://www.oocl.com/korea/eng/localinformation/localnews/2024/PublishingImages/Pages/OOCL-Korea-Newsletter/OOCL%20Korea%20Newsletter%20-%20wk%2036%202024.pdf</x:v>
      </x:c>
      <x:c r="N66" s="10" t="str">
        <x:v>Schedule officiel OOCL/Ocean Alliance.</x:v>
      </x:c>
    </x:row>
    <x:row r="67">
      <x:c r="A67" s="10" t="str">
        <x:v>COSCO Shipping Lines / COSCO Group</x:v>
      </x:c>
      <x:c r="B67" s="10" t="str">
        <x:v>Référentiel V4</x:v>
      </x:c>
      <x:c r="C67" s="10" t="str">
        <x:v>EU-A</x:v>
      </x:c>
      <x:c r="D67" s="10" t="str">
        <x:v>COSCO SHIPPING</x:v>
      </x:c>
      <x:c r="E67" s="10" t="str">
        <x:v>COSCO</x:v>
      </x:c>
      <x:c r="F67" s="10" t="str">
        <x:v>COSCO SHIPPING VOLGA</x:v>
      </x:c>
      <x:c r="G67" s="10" t="str">
        <x:v>9731925</x:v>
      </x:c>
      <x:c r="H67" s="10" t="str">
        <x:v>2023-09-23</x:v>
      </x:c>
      <x:c r="I67" s="10" t="n">
        <x:v>2023</x:v>
      </x:c>
      <x:c r="J67" s="10" t="str">
        <x:v>Ocean Alliance</x:v>
      </x:c>
      <x:c r="K67" s="10" t="str">
        <x:v>Port 2000</x:v>
      </x:c>
      <x:c r="L67" s="10" t="str">
        <x:v>C</x:v>
      </x:c>
      <x:c r="M67" s="10" t="str">
        <x:v>https://www.marine-marchande.net/Jourlejour4/AujourleJour-529.html</x:v>
      </x:c>
      <x:c r="N67" s="10" t="str">
        <x:v>Arrivée d'Anvers documentée.</x:v>
      </x:c>
    </x:row>
    <x:row r="68">
      <x:c r="A68" s="10" t="str">
        <x:v>COSCO Shipping Lines / COSCO Group</x:v>
      </x:c>
      <x:c r="B68" s="10" t="str">
        <x:v>Référentiel V4</x:v>
      </x:c>
      <x:c r="C68" s="10" t="str">
        <x:v>EU-A</x:v>
      </x:c>
      <x:c r="D68" s="10" t="str">
        <x:v>COSCO SHIPPING</x:v>
      </x:c>
      <x:c r="E68" s="10" t="str">
        <x:v>COSCO</x:v>
      </x:c>
      <x:c r="F68" s="10" t="str">
        <x:v>COSCO VIETNAM</x:v>
      </x:c>
      <x:c r="G68" s="10" t="str"/>
      <x:c r="H68" s="10" t="str">
        <x:v>2023-02-16</x:v>
      </x:c>
      <x:c r="I68" s="10" t="n">
        <x:v>2023</x:v>
      </x:c>
      <x:c r="J68" s="10" t="str">
        <x:v>Ocean Alliance</x:v>
      </x:c>
      <x:c r="K68" s="10" t="str">
        <x:v>Le Havre</x:v>
      </x:c>
      <x:c r="L68" s="10" t="str">
        <x:v>C</x:v>
      </x:c>
      <x:c r="M68" s="10" t="str">
        <x:v>https://www.marine-marchande.net/Jourlejour4/AujourleJour-521.html</x:v>
      </x:c>
      <x:c r="N68" s="10" t="str">
        <x:v>Observation portuaire datée.</x:v>
      </x:c>
    </x:row>
    <x:row r="69">
      <x:c r="A69" s="10" t="str">
        <x:v>COSCO Shipping Lines / COSCO Group</x:v>
      </x:c>
      <x:c r="B69" s="10" t="str">
        <x:v>Référentiel V4</x:v>
      </x:c>
      <x:c r="C69" s="10" t="str">
        <x:v>EU-A</x:v>
      </x:c>
      <x:c r="D69" s="10" t="str">
        <x:v>COSCO SHIPPING</x:v>
      </x:c>
      <x:c r="E69" s="10" t="str">
        <x:v>COSCO</x:v>
      </x:c>
      <x:c r="F69" s="10" t="str">
        <x:v>XIN MEI ZHOU</x:v>
      </x:c>
      <x:c r="G69" s="10" t="str"/>
      <x:c r="H69" s="10" t="str">
        <x:v>2026-05-05</x:v>
      </x:c>
      <x:c r="I69" s="10" t="n">
        <x:v>2026</x:v>
      </x:c>
      <x:c r="J69" s="10" t="str">
        <x:v>Ocean Alliance</x:v>
      </x:c>
      <x:c r="K69" s="10" t="str">
        <x:v>Le Havre</x:v>
      </x:c>
      <x:c r="L69" s="10" t="str">
        <x:v>B1</x:v>
      </x:c>
      <x:c r="M69" s="10" t="str">
        <x:v>https://www.oocl.com/korea/eng/localinformation/localnews/2026/PublishingImages/Pages/OOCL-Korea-Newsletter/OOCL%20Korea%20Newsletter%20-%20Week%2011%2C%202026.pdf</x:v>
      </x:c>
      <x:c r="N69" s="10" t="str">
        <x:v>Schedule officiel OOCL/Ocean Alliance.</x:v>
      </x:c>
    </x:row>
    <x:row r="70">
      <x:c r="A70" s="10" t="str">
        <x:v>COSCO Shipping Lines / COSCO Group</x:v>
      </x:c>
      <x:c r="B70" s="10" t="str">
        <x:v>Référentiel V4</x:v>
      </x:c>
      <x:c r="C70" s="10" t="str">
        <x:v>EU-A</x:v>
      </x:c>
      <x:c r="D70" s="10" t="str">
        <x:v>COSCO SHIPPING / OOCL</x:v>
      </x:c>
      <x:c r="E70" s="10" t="str">
        <x:v>OOCL</x:v>
      </x:c>
      <x:c r="F70" s="10" t="str">
        <x:v>OOCL CHONGQING</x:v>
      </x:c>
      <x:c r="G70" s="10" t="str"/>
      <x:c r="H70" s="10" t="str">
        <x:v>2024-03-14</x:v>
      </x:c>
      <x:c r="I70" s="10" t="n">
        <x:v>2024</x:v>
      </x:c>
      <x:c r="J70" s="10" t="str">
        <x:v>Ocean Alliance</x:v>
      </x:c>
      <x:c r="K70" s="10" t="str">
        <x:v>Le Havre</x:v>
      </x:c>
      <x:c r="L70" s="10" t="str">
        <x:v>C</x:v>
      </x:c>
      <x:c r="M70" s="10" t="str">
        <x:v>https://www.marine-marchande.net/Jourlejour4/AujourleJour-534.html</x:v>
      </x:c>
      <x:c r="N70" s="10" t="str">
        <x:v>Dernière escale européenne documentée.</x:v>
      </x:c>
    </x:row>
    <x:row r="71">
      <x:c r="A71" s="10" t="str">
        <x:v>COSCO Shipping Lines / COSCO Group</x:v>
      </x:c>
      <x:c r="B71" s="10" t="str">
        <x:v>Référentiel V4</x:v>
      </x:c>
      <x:c r="C71" s="10" t="str">
        <x:v>EU-A</x:v>
      </x:c>
      <x:c r="D71" s="10" t="str">
        <x:v>COSCO SHIPPING / OOCL</x:v>
      </x:c>
      <x:c r="E71" s="10" t="str">
        <x:v>OOCL</x:v>
      </x:c>
      <x:c r="F71" s="10" t="str">
        <x:v>OOCL EGYPT</x:v>
      </x:c>
      <x:c r="G71" s="10" t="str"/>
      <x:c r="H71" s="10" t="str">
        <x:v>2024-11-07</x:v>
      </x:c>
      <x:c r="I71" s="10" t="n">
        <x:v>2024</x:v>
      </x:c>
      <x:c r="J71" s="10" t="str">
        <x:v>Ocean Alliance</x:v>
      </x:c>
      <x:c r="K71" s="10" t="str">
        <x:v>Le Havre</x:v>
      </x:c>
      <x:c r="L71" s="10" t="str">
        <x:v>B1</x:v>
      </x:c>
      <x:c r="M71" s="10" t="str">
        <x:v>https://www.oocl.com/korea/eng/localinformation/localnews/2024/PublishingImages/Pages/OOCL-Korea-Newsletter/OOCL%20Korea%20Newsletter%20-%20wk%2036%202024.pdf</x:v>
      </x:c>
      <x:c r="N71" s="10" t="str">
        <x:v>Schedule officiel OOCL.</x:v>
      </x:c>
    </x:row>
    <x:row r="72">
      <x:c r="A72" s="10" t="str">
        <x:v>COSCO Shipping Lines / COSCO Group</x:v>
      </x:c>
      <x:c r="B72" s="10" t="str">
        <x:v>Référentiel V4</x:v>
      </x:c>
      <x:c r="C72" s="10" t="str">
        <x:v>EU-A</x:v>
      </x:c>
      <x:c r="D72" s="10" t="str">
        <x:v>COSCO SHIPPING / OOCL</x:v>
      </x:c>
      <x:c r="E72" s="10" t="str">
        <x:v>OOCL</x:v>
      </x:c>
      <x:c r="F72" s="10" t="str">
        <x:v>OOCL HAMBURG</x:v>
      </x:c>
      <x:c r="G72" s="10" t="str"/>
      <x:c r="H72" s="10" t="str">
        <x:v>2026-05-20</x:v>
      </x:c>
      <x:c r="I72" s="10" t="n">
        <x:v>2026</x:v>
      </x:c>
      <x:c r="J72" s="10" t="str">
        <x:v>Ocean Alliance</x:v>
      </x:c>
      <x:c r="K72" s="10" t="str">
        <x:v>Le Havre</x:v>
      </x:c>
      <x:c r="L72" s="10" t="str">
        <x:v>B1</x:v>
      </x:c>
      <x:c r="M72" s="10" t="str">
        <x:v>https://www.oocl.com/korea/eng/localinformation/localnews/2026/PublishingImages/Pages/OOCL-Korea-Newsletter/OOCL%20Korea%20Newsletter%20-%20Week%2011%2C%202026.pdf</x:v>
      </x:c>
      <x:c r="N72" s="10" t="str">
        <x:v>Schedule officiel OOCL.</x:v>
      </x:c>
    </x:row>
    <x:row r="73">
      <x:c r="A73" s="10" t="str">
        <x:v>COSCO Shipping Lines / COSCO Group</x:v>
      </x:c>
      <x:c r="B73" s="10" t="str">
        <x:v>Référentiel V4</x:v>
      </x:c>
      <x:c r="C73" s="10" t="str">
        <x:v>EU-A</x:v>
      </x:c>
      <x:c r="D73" s="10" t="str">
        <x:v>COSCO SHIPPING / OOCL</x:v>
      </x:c>
      <x:c r="E73" s="10" t="str">
        <x:v>OOCL</x:v>
      </x:c>
      <x:c r="F73" s="10" t="str">
        <x:v>OOCL LUXEMBOURG</x:v>
      </x:c>
      <x:c r="G73" s="10" t="str"/>
      <x:c r="H73" s="10" t="str">
        <x:v>2026-04-28</x:v>
      </x:c>
      <x:c r="I73" s="10" t="n">
        <x:v>2026</x:v>
      </x:c>
      <x:c r="J73" s="10" t="str">
        <x:v>Ocean Alliance</x:v>
      </x:c>
      <x:c r="K73" s="10" t="str">
        <x:v>Le Havre</x:v>
      </x:c>
      <x:c r="L73" s="10" t="str">
        <x:v>B1</x:v>
      </x:c>
      <x:c r="M73" s="10" t="str">
        <x:v>https://www.oocl.com/korea/eng/localinformation/localnews/2026/PublishingImages/Pages/OOCL-Korea-Newsletter/OOCL%20Korea%20Newsletter%20-%20Week%2011%2C%202026.pdf</x:v>
      </x:c>
      <x:c r="N73" s="10" t="str">
        <x:v>Schedule officiel OOCL.</x:v>
      </x:c>
    </x:row>
    <x:row r="74">
      <x:c r="A74" s="10" t="str">
        <x:v>COSCO Shipping Lines / COSCO Group</x:v>
      </x:c>
      <x:c r="B74" s="10" t="str">
        <x:v>Référentiel V4</x:v>
      </x:c>
      <x:c r="C74" s="10" t="str">
        <x:v>EU-A</x:v>
      </x:c>
      <x:c r="D74" s="10" t="str">
        <x:v>COSCO SHIPPING / OOCL</x:v>
      </x:c>
      <x:c r="E74" s="10" t="str">
        <x:v>OOCL</x:v>
      </x:c>
      <x:c r="F74" s="10" t="str">
        <x:v>OOCL MALAYSIA</x:v>
      </x:c>
      <x:c r="G74" s="10" t="str"/>
      <x:c r="H74" s="10" t="str">
        <x:v>2024-10-31</x:v>
      </x:c>
      <x:c r="I74" s="10" t="n">
        <x:v>2024</x:v>
      </x:c>
      <x:c r="J74" s="10" t="str">
        <x:v>Ocean Alliance</x:v>
      </x:c>
      <x:c r="K74" s="10" t="str">
        <x:v>Le Havre</x:v>
      </x:c>
      <x:c r="L74" s="10" t="str">
        <x:v>B1</x:v>
      </x:c>
      <x:c r="M74" s="10" t="str">
        <x:v>https://www.oocl.com/korea/eng/localinformation/localnews/2024/PublishingImages/Pages/OOCL-Korea-Newsletter/OOCL%20Korea%20Newsletter%20-%20wk%2036%202024.pdf</x:v>
      </x:c>
      <x:c r="N74" s="10" t="str">
        <x:v>Schedule officiel OOCL.</x:v>
      </x:c>
    </x:row>
    <x:row r="75">
      <x:c r="A75" s="10" t="str">
        <x:v>COSCO Shipping Lines / COSCO Group</x:v>
      </x:c>
      <x:c r="B75" s="10" t="str">
        <x:v>Référentiel V4</x:v>
      </x:c>
      <x:c r="C75" s="10" t="str">
        <x:v>EU-A</x:v>
      </x:c>
      <x:c r="D75" s="10" t="str">
        <x:v>COSCO SHIPPING / OOCL</x:v>
      </x:c>
      <x:c r="E75" s="10" t="str">
        <x:v>OOCL</x:v>
      </x:c>
      <x:c r="F75" s="10" t="str">
        <x:v>OOCL SHANGHAI</x:v>
      </x:c>
      <x:c r="G75" s="10" t="str"/>
      <x:c r="H75" s="10" t="str">
        <x:v>2026-05-07</x:v>
      </x:c>
      <x:c r="I75" s="10" t="n">
        <x:v>2026</x:v>
      </x:c>
      <x:c r="J75" s="10" t="str">
        <x:v>Ocean Alliance</x:v>
      </x:c>
      <x:c r="K75" s="10" t="str">
        <x:v>Le Havre</x:v>
      </x:c>
      <x:c r="L75" s="10" t="str">
        <x:v>B1</x:v>
      </x:c>
      <x:c r="M75" s="10" t="str">
        <x:v>https://www.oocl.com/korea/eng/localinformation/localnews/2026/PublishingImages/Pages/OOCL-Korea-Newsletter/OOCL%20Korea%20Newsletter%20-%20Week%2011%2C%202026.pdf</x:v>
      </x:c>
      <x:c r="N75" s="10" t="str">
        <x:v>Schedule officiel OOCL.</x:v>
      </x:c>
    </x:row>
    <x:row r="76">
      <x:c r="A76" s="10" t="str">
        <x:v>COSCO Shipping Lines / COSCO Group</x:v>
      </x:c>
      <x:c r="B76" s="10" t="str">
        <x:v>Référentiel V4</x:v>
      </x:c>
      <x:c r="C76" s="10" t="str">
        <x:v>EU-A</x:v>
      </x:c>
      <x:c r="D76" s="10" t="str">
        <x:v>COSCO SHIPPING / OOCL</x:v>
      </x:c>
      <x:c r="E76" s="10" t="str">
        <x:v>OOCL</x:v>
      </x:c>
      <x:c r="F76" s="10" t="str">
        <x:v>OOCL ST. LAWRENCE</x:v>
      </x:c>
      <x:c r="G76" s="10" t="str"/>
      <x:c r="H76" s="10" t="str">
        <x:v>2024-07-04</x:v>
      </x:c>
      <x:c r="I76" s="10" t="n">
        <x:v>2024</x:v>
      </x:c>
      <x:c r="J76" s="10" t="str">
        <x:v>Ocean Alliance</x:v>
      </x:c>
      <x:c r="K76" s="10" t="str">
        <x:v>Le Havre</x:v>
      </x:c>
      <x:c r="L76" s="10" t="str">
        <x:v>C</x:v>
      </x:c>
      <x:c r="M76" s="10" t="str">
        <x:v>https://www.marine-marchande.net/Jourlejour4/AujourleJour-539.html</x:v>
      </x:c>
      <x:c r="N76" s="10" t="str">
        <x:v>Arrivée de Bremerhaven documentée.</x:v>
      </x:c>
    </x:row>
    <x:row r="77">
      <x:c r="A77" s="10" t="str">
        <x:v>COSCO Shipping Lines / COSCO Group</x:v>
      </x:c>
      <x:c r="B77" s="10" t="str">
        <x:v>Référentiel V4</x:v>
      </x:c>
      <x:c r="C77" s="10" t="str">
        <x:v>EU-A</x:v>
      </x:c>
      <x:c r="D77" s="10" t="str">
        <x:v>COSCO SHIPPING / OOCL</x:v>
      </x:c>
      <x:c r="E77" s="10" t="str">
        <x:v>OOCL</x:v>
      </x:c>
      <x:c r="F77" s="10" t="str">
        <x:v>OOCL TAIPEI</x:v>
      </x:c>
      <x:c r="G77" s="10" t="str"/>
      <x:c r="H77" s="10" t="str">
        <x:v>2026-04-21</x:v>
      </x:c>
      <x:c r="I77" s="10" t="n">
        <x:v>2026</x:v>
      </x:c>
      <x:c r="J77" s="10" t="str">
        <x:v>Ocean Alliance</x:v>
      </x:c>
      <x:c r="K77" s="10" t="str">
        <x:v>Le Havre</x:v>
      </x:c>
      <x:c r="L77" s="10" t="str">
        <x:v>B1</x:v>
      </x:c>
      <x:c r="M77" s="10" t="str">
        <x:v>https://www.oocl.com/korea/eng/localinformation/localnews/2026/PublishingImages/Pages/OOCL-Korea-Newsletter/OOCL%20Korea%20Newsletter%20-%20Week%2011%2C%202026.pdf</x:v>
      </x:c>
      <x:c r="N77" s="10" t="str">
        <x:v>Schedule officiel OOCL.</x:v>
      </x:c>
    </x:row>
    <x:row r="78">
      <x:c r="A78" s="10" t="str">
        <x:v>COSCO Shipping Lines / COSCO Group</x:v>
      </x:c>
      <x:c r="B78" s="10" t="str">
        <x:v>Référentiel V4</x:v>
      </x:c>
      <x:c r="C78" s="10" t="str">
        <x:v>EU-A</x:v>
      </x:c>
      <x:c r="D78" s="10" t="str">
        <x:v>COSCO SHIPPING / OOCL</x:v>
      </x:c>
      <x:c r="E78" s="10" t="str">
        <x:v>Ocean Alliance / navire affrété</x:v>
      </x:c>
      <x:c r="F78" s="10" t="str">
        <x:v>ALS JUNO</x:v>
      </x:c>
      <x:c r="G78" s="10" t="str"/>
      <x:c r="H78" s="10" t="str">
        <x:v>2026-05-14</x:v>
      </x:c>
      <x:c r="I78" s="10" t="n">
        <x:v>2026</x:v>
      </x:c>
      <x:c r="J78" s="10" t="str">
        <x:v>Ocean Alliance</x:v>
      </x:c>
      <x:c r="K78" s="10" t="str">
        <x:v>Le Havre</x:v>
      </x:c>
      <x:c r="L78" s="10" t="str">
        <x:v>B1</x:v>
      </x:c>
      <x:c r="M78" s="10" t="str">
        <x:v>https://www.oocl.com/korea/eng/localinformation/localnews/2026/PublishingImages/Pages/OOCL-Korea-Newsletter/OOCL%20Korea%20Newsletter%20-%20Week%2011%2C%202026.pdf</x:v>
      </x:c>
      <x:c r="N78" s="10" t="str">
        <x:v>Navire affrété apparaissant sur schedule officiel OOCL.</x:v>
      </x:c>
    </x:row>
    <x:row r="79">
      <x:c r="A79" s="10" t="str">
        <x:v>COSCO Shipping Lines / COSCO Group</x:v>
      </x:c>
      <x:c r="B79" s="10" t="str">
        <x:v>Référentiel V4</x:v>
      </x:c>
      <x:c r="C79" s="10" t="str">
        <x:v>EU-A</x:v>
      </x:c>
      <x:c r="D79" s="10" t="str">
        <x:v>COSCO SHIPPING / OOCL</x:v>
      </x:c>
      <x:c r="E79" s="10" t="str">
        <x:v>Ocean Alliance / navire affrété</x:v>
      </x:c>
      <x:c r="F79" s="10" t="str">
        <x:v>PELION</x:v>
      </x:c>
      <x:c r="G79" s="10" t="str"/>
      <x:c r="H79" s="10" t="str">
        <x:v>2026-04-24</x:v>
      </x:c>
      <x:c r="I79" s="10" t="n">
        <x:v>2026</x:v>
      </x:c>
      <x:c r="J79" s="10" t="str">
        <x:v>Ocean Alliance</x:v>
      </x:c>
      <x:c r="K79" s="10" t="str">
        <x:v>Le Havre</x:v>
      </x:c>
      <x:c r="L79" s="10" t="str">
        <x:v>B1</x:v>
      </x:c>
      <x:c r="M79" s="10" t="str">
        <x:v>https://www.oocl.com/korea/eng/localinformation/localnews/2026/PublishingImages/Pages/OOCL-Korea-Newsletter/OOCL%20Korea%20Newsletter%20-%20Week%2011%2C%202026.pdf</x:v>
      </x:c>
      <x:c r="N79" s="10" t="str">
        <x:v>Navire affrété apparaissant sur schedule officiel OOCL.</x:v>
      </x:c>
    </x:row>
    <x:row r="80">
      <x:c r="A80" s="10" t="str">
        <x:v>Evergreen Marine / Evergreen Line</x:v>
      </x:c>
      <x:c r="B80" s="10" t="str">
        <x:v>Référentiel V4</x:v>
      </x:c>
      <x:c r="C80" s="10" t="str">
        <x:v>EU-A</x:v>
      </x:c>
      <x:c r="D80" s="10" t="str">
        <x:v>Evergreen</x:v>
      </x:c>
      <x:c r="E80" s="10" t="str">
        <x:v>Evergreen</x:v>
      </x:c>
      <x:c r="F80" s="10" t="str">
        <x:v>EVER FAME</x:v>
      </x:c>
      <x:c r="G80" s="10" t="str">
        <x:v>9850800</x:v>
      </x:c>
      <x:c r="H80" s="10" t="str">
        <x:v>2023-09-19</x:v>
      </x:c>
      <x:c r="I80" s="10" t="n">
        <x:v>2023</x:v>
      </x:c>
      <x:c r="J80" s="10" t="str">
        <x:v>Ocean Alliance</x:v>
      </x:c>
      <x:c r="K80" s="10" t="str">
        <x:v>Le Havre</x:v>
      </x:c>
      <x:c r="L80" s="10" t="str">
        <x:v>C</x:v>
      </x:c>
      <x:c r="M80" s="10" t="str">
        <x:v>https://www.marine-marchande.net/Jourlejour4/AujourleJour-529.html</x:v>
      </x:c>
      <x:c r="N80" s="10" t="str">
        <x:v>Fin de rotation Europe et départ vers New York documentés.</x:v>
      </x:c>
    </x:row>
    <x:row r="81">
      <x:c r="A81" s="10" t="str">
        <x:v>Evergreen Marine / Evergreen Line</x:v>
      </x:c>
      <x:c r="B81" s="10" t="str">
        <x:v>Référentiel V4</x:v>
      </x:c>
      <x:c r="C81" s="10" t="str">
        <x:v>EU-A</x:v>
      </x:c>
      <x:c r="D81" s="10" t="str">
        <x:v>Evergreen</x:v>
      </x:c>
      <x:c r="E81" s="10" t="str">
        <x:v>Evergreen</x:v>
      </x:c>
      <x:c r="F81" s="10" t="str">
        <x:v>EVER FOREVER</x:v>
      </x:c>
      <x:c r="G81" s="10" t="str"/>
      <x:c r="H81" s="10" t="str">
        <x:v>2025-04-21</x:v>
      </x:c>
      <x:c r="I81" s="10" t="n">
        <x:v>2025</x:v>
      </x:c>
      <x:c r="J81" s="10" t="str">
        <x:v>TAE</x:v>
      </x:c>
      <x:c r="K81" s="10" t="str">
        <x:v>Le Havre</x:v>
      </x:c>
      <x:c r="L81" s="10" t="str">
        <x:v>A1</x:v>
      </x:c>
      <x:c r="M81" s="10" t="str">
        <x:v>https://www.haropaport.com/fr/actualites/le-ever-forever-en-escale-inaugurale-au-havre</x:v>
      </x:c>
      <x:c r="N81" s="10" t="str">
        <x:v>Escale inaugurale officielle.</x:v>
      </x:c>
    </x:row>
    <x:row r="82">
      <x:c r="A82" s="10" t="str">
        <x:v>Evergreen Marine / Evergreen Line</x:v>
      </x:c>
      <x:c r="B82" s="10" t="str">
        <x:v>Référentiel V4</x:v>
      </x:c>
      <x:c r="C82" s="10" t="str">
        <x:v>EU-A</x:v>
      </x:c>
      <x:c r="D82" s="10" t="str">
        <x:v>Evergreen</x:v>
      </x:c>
      <x:c r="E82" s="10" t="str">
        <x:v>Evergreen</x:v>
      </x:c>
      <x:c r="F82" s="10" t="str">
        <x:v>EVER LIVING</x:v>
      </x:c>
      <x:c r="G82" s="10" t="str"/>
      <x:c r="H82" s="10" t="str">
        <x:v>2024-05</x:v>
      </x:c>
      <x:c r="I82" s="10" t="n">
        <x:v>2024</x:v>
      </x:c>
      <x:c r="J82" s="10" t="str">
        <x:v>Ocean Alliance</x:v>
      </x:c>
      <x:c r="K82" s="10" t="str">
        <x:v>Le Havre</x:v>
      </x:c>
      <x:c r="L82" s="10" t="str">
        <x:v>C</x:v>
      </x:c>
      <x:c r="M82" s="10" t="str">
        <x:v>https://www.marine-marchande.net/Jourlejour4/AujourleJour-537.html</x:v>
      </x:c>
      <x:c r="N82" s="10" t="str">
        <x:v>Départ du Havre vers les États-Unis documenté.</x:v>
      </x:c>
    </x:row>
    <x:row r="83">
      <x:c r="A83" s="10" t="str">
        <x:v>Evergreen Marine / Evergreen Line</x:v>
      </x:c>
      <x:c r="B83" s="10" t="str">
        <x:v>Référentiel V4</x:v>
      </x:c>
      <x:c r="C83" s="10" t="str">
        <x:v>EU-A</x:v>
      </x:c>
      <x:c r="D83" s="10" t="str">
        <x:v>Evergreen</x:v>
      </x:c>
      <x:c r="E83" s="10" t="str">
        <x:v>Evergreen</x:v>
      </x:c>
      <x:c r="F83" s="10" t="str">
        <x:v>EVER SMILE</x:v>
      </x:c>
      <x:c r="G83" s="10" t="str">
        <x:v>9300415</x:v>
      </x:c>
      <x:c r="H83" s="10" t="str">
        <x:v>2025-03-04</x:v>
      </x:c>
      <x:c r="I83" s="10" t="n">
        <x:v>2025</x:v>
      </x:c>
      <x:c r="J83" s="10" t="str">
        <x:v>Ocean Alliance</x:v>
      </x:c>
      <x:c r="K83" s="10" t="str">
        <x:v>Port 2000</x:v>
      </x:c>
      <x:c r="L83" s="10" t="str">
        <x:v>C</x:v>
      </x:c>
      <x:c r="M83" s="10" t="str">
        <x:v>https://www.marine-marchande.net/Jourlejour4/AujourleJour-547.html</x:v>
      </x:c>
      <x:c r="N83" s="10" t="str">
        <x:v>Présence havraise documentée.</x:v>
      </x:c>
    </x:row>
    <x:row r="84">
      <x:c r="A84" s="10" t="str">
        <x:v>HMM</x:v>
      </x:c>
      <x:c r="B84" s="10" t="str">
        <x:v>Référentiel V4</x:v>
      </x:c>
      <x:c r="C84" s="10" t="str">
        <x:v>EU-A</x:v>
      </x:c>
      <x:c r="D84" s="10" t="str">
        <x:v>HMM</x:v>
      </x:c>
      <x:c r="E84" s="10" t="str">
        <x:v>HMM</x:v>
      </x:c>
      <x:c r="F84" s="10" t="str">
        <x:v>HMM HANBADA</x:v>
      </x:c>
      <x:c r="G84" s="10" t="str"/>
      <x:c r="H84" s="10" t="str">
        <x:v>2024-09-07</x:v>
      </x:c>
      <x:c r="I84" s="10" t="n">
        <x:v>2024</x:v>
      </x:c>
      <x:c r="J84" s="10" t="str">
        <x:v>THE Alliance</x:v>
      </x:c>
      <x:c r="K84" s="10" t="str">
        <x:v>Le Havre</x:v>
      </x:c>
      <x:c r="L84" s="10" t="str">
        <x:v>C</x:v>
      </x:c>
      <x:c r="M84" s="10" t="str">
        <x:v>https://www.scribd.com/document/754984822/SCHEDULES-LE-HAVRE-BUSAN-AOUT-2024</x:v>
      </x:c>
      <x:c r="N84" s="10" t="str">
        <x:v>Schedule commercial Le Havre–Busan.</x:v>
      </x:c>
    </x:row>
    <x:row r="85">
      <x:c r="A85" s="10" t="str">
        <x:v>HMM</x:v>
      </x:c>
      <x:c r="B85" s="10" t="str">
        <x:v>Référentiel V4</x:v>
      </x:c>
      <x:c r="C85" s="10" t="str">
        <x:v>EU-A</x:v>
      </x:c>
      <x:c r="D85" s="10" t="str">
        <x:v>HMM</x:v>
      </x:c>
      <x:c r="E85" s="10" t="str">
        <x:v>HMM</x:v>
      </x:c>
      <x:c r="F85" s="10" t="str">
        <x:v>HMM OSLO</x:v>
      </x:c>
      <x:c r="G85" s="10" t="str"/>
      <x:c r="H85" s="10" t="str">
        <x:v>2025-04-27</x:v>
      </x:c>
      <x:c r="I85" s="10" t="n">
        <x:v>2025</x:v>
      </x:c>
      <x:c r="J85" s="10" t="str">
        <x:v>FE4 / Premier Alliance</x:v>
      </x:c>
      <x:c r="K85" s="10" t="str">
        <x:v>Terminal de France</x:v>
      </x:c>
      <x:c r="L85" s="10" t="str">
        <x:v>A1</x:v>
      </x:c>
      <x:c r="M85" s="10" t="str">
        <x:v>https://www.haropaport.com/fr/actualites/haropa-port-accueille-le-nouveau-service-asie-europe-de-lalliance-premier</x:v>
      </x:c>
      <x:c r="N85" s="10" t="str">
        <x:v>Premier navire du nouveau service FE4.</x:v>
      </x:c>
    </x:row>
    <x:row r="86">
      <x:c r="A86" s="10" t="str">
        <x:v>HMM</x:v>
      </x:c>
      <x:c r="B86" s="10" t="str">
        <x:v>Référentiel V4</x:v>
      </x:c>
      <x:c r="C86" s="10" t="str">
        <x:v>EU-A</x:v>
      </x:c>
      <x:c r="D86" s="10" t="str">
        <x:v>HMM</x:v>
      </x:c>
      <x:c r="E86" s="10" t="str">
        <x:v>HMM</x:v>
      </x:c>
      <x:c r="F86" s="10" t="str">
        <x:v>HMM SOUTHAMPTON</x:v>
      </x:c>
      <x:c r="G86" s="10" t="str"/>
      <x:c r="H86" s="10" t="str">
        <x:v>2026-05-02</x:v>
      </x:c>
      <x:c r="I86" s="10" t="n">
        <x:v>2026</x:v>
      </x:c>
      <x:c r="J86" s="10" t="str">
        <x:v>Premier Alliance</x:v>
      </x:c>
      <x:c r="K86" s="10" t="str">
        <x:v>Le Havre</x:v>
      </x:c>
      <x:c r="L86" s="10" t="str">
        <x:v>B1</x:v>
      </x:c>
      <x:c r="M86" s="10" t="str">
        <x:v>https://ch.one-line.com/sites/g/files/lnzjqr2191/files/schedules/2026-02/Europe%20Schedule.pdf</x:v>
      </x:c>
      <x:c r="N86" s="10" t="str">
        <x:v>ETA Le Havre publiée sur schedule officiel ONE.</x:v>
      </x:c>
    </x:row>
    <x:row r="87">
      <x:c r="A87" s="10" t="str">
        <x:v>Hapag-Lloyd</x:v>
      </x:c>
      <x:c r="B87" s="10" t="str">
        <x:v>Référentiel V4</x:v>
      </x:c>
      <x:c r="C87" s="10" t="str">
        <x:v>EU-A</x:v>
      </x:c>
      <x:c r="D87" s="10" t="str">
        <x:v>Hapag-Lloyd</x:v>
      </x:c>
      <x:c r="E87" s="10" t="str">
        <x:v>Hapag-Lloyd</x:v>
      </x:c>
      <x:c r="F87" s="10" t="str">
        <x:v>AL MANAMAH</x:v>
      </x:c>
      <x:c r="G87" s="10" t="str">
        <x:v>9349538</x:v>
      </x:c>
      <x:c r="H87" s="10" t="str">
        <x:v>2024-06</x:v>
      </x:c>
      <x:c r="I87" s="10" t="n">
        <x:v>2024</x:v>
      </x:c>
      <x:c r="J87" s="10" t="str">
        <x:v>Service Hapag-Lloyd</x:v>
      </x:c>
      <x:c r="K87" s="10" t="str">
        <x:v>Le Havre</x:v>
      </x:c>
      <x:c r="L87" s="10" t="str">
        <x:v>C</x:v>
      </x:c>
      <x:c r="M87" s="10" t="str">
        <x:v>https://www.marine-marchande.net/Jourlejour4/AujourleJour-537.html</x:v>
      </x:c>
      <x:c r="N87" s="10" t="str">
        <x:v>Arrivée de Houston documentée.</x:v>
      </x:c>
    </x:row>
    <x:row r="88">
      <x:c r="A88" s="10" t="str">
        <x:v>Hapag-Lloyd</x:v>
      </x:c>
      <x:c r="B88" s="10" t="str">
        <x:v>Référentiel V4</x:v>
      </x:c>
      <x:c r="C88" s="10" t="str">
        <x:v>EU-A</x:v>
      </x:c>
      <x:c r="D88" s="10" t="str">
        <x:v>Hapag-Lloyd</x:v>
      </x:c>
      <x:c r="E88" s="10" t="str">
        <x:v>Hapag-Lloyd</x:v>
      </x:c>
      <x:c r="F88" s="10" t="str">
        <x:v>AL MURAYKH</x:v>
      </x:c>
      <x:c r="G88" s="10" t="str"/>
      <x:c r="H88" s="10" t="str">
        <x:v>2023-07-27</x:v>
      </x:c>
      <x:c r="I88" s="10" t="n">
        <x:v>2023</x:v>
      </x:c>
      <x:c r="J88" s="10" t="str">
        <x:v>THE Alliance</x:v>
      </x:c>
      <x:c r="K88" s="10" t="str">
        <x:v>Le Havre</x:v>
      </x:c>
      <x:c r="L88" s="10" t="str">
        <x:v>B1</x:v>
      </x:c>
      <x:c r="M88" s="10" t="str">
        <x:v>https://ch.one-line.com/sites/g/files/lnzjqr2191/files/schedules/2023-07/Europe%20Schedule.pdf</x:v>
      </x:c>
      <x:c r="N88" s="10" t="str">
        <x:v>Schedule officiel de partenaire d'alliance.</x:v>
      </x:c>
    </x:row>
    <x:row r="89">
      <x:c r="A89" s="10" t="str">
        <x:v>Hapag-Lloyd</x:v>
      </x:c>
      <x:c r="B89" s="10" t="str">
        <x:v>Référentiel V4</x:v>
      </x:c>
      <x:c r="C89" s="10" t="str">
        <x:v>EU-A</x:v>
      </x:c>
      <x:c r="D89" s="10" t="str">
        <x:v>Hapag-Lloyd</x:v>
      </x:c>
      <x:c r="E89" s="10" t="str">
        <x:v>Hapag-Lloyd</x:v>
      </x:c>
      <x:c r="F89" s="10" t="str">
        <x:v>AL NEFUD</x:v>
      </x:c>
      <x:c r="G89" s="10" t="str"/>
      <x:c r="H89" s="10" t="str">
        <x:v>2024-01-26</x:v>
      </x:c>
      <x:c r="I89" s="10" t="n">
        <x:v>2024</x:v>
      </x:c>
      <x:c r="J89" s="10" t="str">
        <x:v>THE Alliance</x:v>
      </x:c>
      <x:c r="K89" s="10" t="str">
        <x:v>Le Havre</x:v>
      </x:c>
      <x:c r="L89" s="10" t="str">
        <x:v>B1</x:v>
      </x:c>
      <x:c r="M89" s="10" t="str">
        <x:v>https://ch.one-line.com/sites/g/files/lnzjqr2191/files/schedules/2024-11/VSL-Schedule-Dec-2024.pdf</x:v>
      </x:c>
      <x:c r="N89" s="10" t="str">
        <x:v>Schedule officiel partenaire.</x:v>
      </x:c>
    </x:row>
    <x:row r="90">
      <x:c r="A90" s="10" t="str">
        <x:v>Hapag-Lloyd</x:v>
      </x:c>
      <x:c r="B90" s="10" t="str">
        <x:v>Référentiel V4</x:v>
      </x:c>
      <x:c r="C90" s="10" t="str">
        <x:v>EU-A</x:v>
      </x:c>
      <x:c r="D90" s="10" t="str">
        <x:v>Hapag-Lloyd</x:v>
      </x:c>
      <x:c r="E90" s="10" t="str">
        <x:v>Hapag-Lloyd</x:v>
      </x:c>
      <x:c r="F90" s="10" t="str">
        <x:v>AL ZUBARA</x:v>
      </x:c>
      <x:c r="G90" s="10" t="str">
        <x:v>9708875</x:v>
      </x:c>
      <x:c r="H90" s="10" t="str">
        <x:v>2024-08-17</x:v>
      </x:c>
      <x:c r="I90" s="10" t="n">
        <x:v>2024</x:v>
      </x:c>
      <x:c r="J90" s="10" t="str">
        <x:v>Asie-Europe</x:v>
      </x:c>
      <x:c r="K90" s="10" t="str">
        <x:v>Le Havre</x:v>
      </x:c>
      <x:c r="L90" s="10" t="str">
        <x:v>C</x:v>
      </x:c>
      <x:c r="M90" s="10" t="str">
        <x:v>https://www.scribd.com/document/754984822/SCHEDULES-LE-HAVRE-BUSAN-AOUT-2024</x:v>
      </x:c>
      <x:c r="N90" s="10" t="str">
        <x:v>Schedule commercial Le Havre–Busan.</x:v>
      </x:c>
    </x:row>
    <x:row r="91">
      <x:c r="A91" s="10" t="str">
        <x:v>Hapag-Lloyd</x:v>
      </x:c>
      <x:c r="B91" s="10" t="str">
        <x:v>Référentiel V4</x:v>
      </x:c>
      <x:c r="C91" s="10" t="str">
        <x:v>EU-A</x:v>
      </x:c>
      <x:c r="D91" s="10" t="str">
        <x:v>Hapag-Lloyd</x:v>
      </x:c>
      <x:c r="E91" s="10" t="str">
        <x:v>Hapag-Lloyd</x:v>
      </x:c>
      <x:c r="F91" s="10" t="str">
        <x:v>BARZAN</x:v>
      </x:c>
      <x:c r="G91" s="10" t="str"/>
      <x:c r="H91" s="10" t="str">
        <x:v>2024-08-28</x:v>
      </x:c>
      <x:c r="I91" s="10" t="n">
        <x:v>2024</x:v>
      </x:c>
      <x:c r="J91" s="10" t="str">
        <x:v>Asie-Europe</x:v>
      </x:c>
      <x:c r="K91" s="10" t="str">
        <x:v>Le Havre</x:v>
      </x:c>
      <x:c r="L91" s="10" t="str">
        <x:v>C</x:v>
      </x:c>
      <x:c r="M91" s="10" t="str">
        <x:v>https://www.scribd.com/document/754984822/SCHEDULES-LE-HAVRE-BUSAN-AOUT-2024</x:v>
      </x:c>
      <x:c r="N91" s="10" t="str">
        <x:v>Schedule commercial Le Havre–Busan.</x:v>
      </x:c>
    </x:row>
    <x:row r="92">
      <x:c r="A92" s="10" t="str">
        <x:v>Hapag-Lloyd</x:v>
      </x:c>
      <x:c r="B92" s="10" t="str">
        <x:v>Référentiel V4</x:v>
      </x:c>
      <x:c r="C92" s="10" t="str">
        <x:v>EU-A</x:v>
      </x:c>
      <x:c r="D92" s="10" t="str">
        <x:v>Hapag-Lloyd</x:v>
      </x:c>
      <x:c r="E92" s="10" t="str">
        <x:v>Hapag-Lloyd</x:v>
      </x:c>
      <x:c r="F92" s="10" t="str">
        <x:v>CHENNAI EXPRESS</x:v>
      </x:c>
      <x:c r="G92" s="10" t="str"/>
      <x:c r="H92" s="10" t="str">
        <x:v>2024-07</x:v>
      </x:c>
      <x:c r="I92" s="10" t="n">
        <x:v>2024</x:v>
      </x:c>
      <x:c r="J92" s="10" t="str">
        <x:v>Service Hapag-Lloyd</x:v>
      </x:c>
      <x:c r="K92" s="10" t="str">
        <x:v>Le Havre</x:v>
      </x:c>
      <x:c r="L92" s="10" t="str">
        <x:v>C</x:v>
      </x:c>
      <x:c r="M92" s="10" t="str">
        <x:v>https://www.marine-marchande.net/Jourlejour4/AujourleJour-539.html</x:v>
      </x:c>
      <x:c r="N92" s="10" t="str">
        <x:v>Présence havraise documentée.</x:v>
      </x:c>
    </x:row>
    <x:row r="93">
      <x:c r="A93" s="10" t="str">
        <x:v>Hapag-Lloyd</x:v>
      </x:c>
      <x:c r="B93" s="10" t="str">
        <x:v>Référentiel V4</x:v>
      </x:c>
      <x:c r="C93" s="10" t="str">
        <x:v>EU-A</x:v>
      </x:c>
      <x:c r="D93" s="10" t="str">
        <x:v>Hapag-Lloyd</x:v>
      </x:c>
      <x:c r="E93" s="10" t="str">
        <x:v>Hapag-Lloyd</x:v>
      </x:c>
      <x:c r="F93" s="10" t="str">
        <x:v>GUAYAQUIL EXPRESS</x:v>
      </x:c>
      <x:c r="G93" s="10" t="str"/>
      <x:c r="H93" s="10" t="str">
        <x:v>2023-09-02</x:v>
      </x:c>
      <x:c r="I93" s="10" t="n">
        <x:v>2023</x:v>
      </x:c>
      <x:c r="J93" s="10" t="str">
        <x:v>SWX / EUROSAL</x:v>
      </x:c>
      <x:c r="K93" s="10" t="str">
        <x:v>Terminal des Amériques</x:v>
      </x:c>
      <x:c r="L93" s="10" t="str">
        <x:v>B2</x:v>
      </x:c>
      <x:c r="M93" s="10" t="str">
        <x:v>https://container-news.com/cma-cgms-eurosal-line-returns-to-france/</x:v>
      </x:c>
      <x:c r="N93" s="10" t="str">
        <x:v>Premier navire annoncé lors du retour du service au Havre.</x:v>
      </x:c>
    </x:row>
    <x:row r="94">
      <x:c r="A94" s="10" t="str">
        <x:v>Hapag-Lloyd</x:v>
      </x:c>
      <x:c r="B94" s="10" t="str">
        <x:v>Référentiel V4</x:v>
      </x:c>
      <x:c r="C94" s="10" t="str">
        <x:v>EU-A</x:v>
      </x:c>
      <x:c r="D94" s="10" t="str">
        <x:v>Hapag-Lloyd</x:v>
      </x:c>
      <x:c r="E94" s="10" t="str">
        <x:v>Hapag-Lloyd</x:v>
      </x:c>
      <x:c r="F94" s="10" t="str">
        <x:v>IRENES RULE</x:v>
      </x:c>
      <x:c r="G94" s="10" t="str">
        <x:v>9953561</x:v>
      </x:c>
      <x:c r="H94" s="10" t="str">
        <x:v>2024-09-14</x:v>
      </x:c>
      <x:c r="I94" s="10" t="n">
        <x:v>2024</x:v>
      </x:c>
      <x:c r="J94" s="10" t="str">
        <x:v>Service Hapag-Lloyd</x:v>
      </x:c>
      <x:c r="K94" s="10" t="str">
        <x:v>Le Havre</x:v>
      </x:c>
      <x:c r="L94" s="10" t="str">
        <x:v>C</x:v>
      </x:c>
      <x:c r="M94" s="10" t="str">
        <x:v>https://www.marine-marchande.net/Jourlejour4/AujourleJour-540.html</x:v>
      </x:c>
      <x:c r="N94" s="10" t="str">
        <x:v>Observation portuaire datée.</x:v>
      </x:c>
    </x:row>
    <x:row r="95">
      <x:c r="A95" s="10" t="str">
        <x:v>Hapag-Lloyd</x:v>
      </x:c>
      <x:c r="B95" s="10" t="str">
        <x:v>Référentiel V4</x:v>
      </x:c>
      <x:c r="C95" s="10" t="str">
        <x:v>EU-A</x:v>
      </x:c>
      <x:c r="D95" s="10" t="str">
        <x:v>Hapag-Lloyd</x:v>
      </x:c>
      <x:c r="E95" s="10" t="str">
        <x:v>Hapag-Lloyd</x:v>
      </x:c>
      <x:c r="F95" s="10" t="str">
        <x:v>LIVERPOOL EXPRESS</x:v>
      </x:c>
      <x:c r="G95" s="10" t="str"/>
      <x:c r="H95" s="10" t="str">
        <x:v>2025-08</x:v>
      </x:c>
      <x:c r="I95" s="10" t="n">
        <x:v>2025</x:v>
      </x:c>
      <x:c r="J95" s="10" t="str">
        <x:v>Service Hapag-Lloyd</x:v>
      </x:c>
      <x:c r="K95" s="10" t="str">
        <x:v>Port 2000</x:v>
      </x:c>
      <x:c r="L95" s="10" t="str">
        <x:v>C</x:v>
      </x:c>
      <x:c r="M95" s="10" t="str">
        <x:v>https://www.marine-marchande.net/Jourlejour4/AujourleJour-552.html</x:v>
      </x:c>
      <x:c r="N95" s="10" t="str">
        <x:v>Observation portuaire datée.</x:v>
      </x:c>
    </x:row>
    <x:row r="96">
      <x:c r="A96" s="10" t="str">
        <x:v>Hapag-Lloyd</x:v>
      </x:c>
      <x:c r="B96" s="10" t="str">
        <x:v>Référentiel V4</x:v>
      </x:c>
      <x:c r="C96" s="10" t="str">
        <x:v>EU-A</x:v>
      </x:c>
      <x:c r="D96" s="10" t="str">
        <x:v>Hapag-Lloyd</x:v>
      </x:c>
      <x:c r="E96" s="10" t="str">
        <x:v>Hapag-Lloyd</x:v>
      </x:c>
      <x:c r="F96" s="10" t="str">
        <x:v>PRAGUE EXPRESS</x:v>
      </x:c>
      <x:c r="G96" s="10" t="str">
        <x:v>9450399</x:v>
      </x:c>
      <x:c r="H96" s="10" t="str">
        <x:v>2024-07</x:v>
      </x:c>
      <x:c r="I96" s="10" t="n">
        <x:v>2024</x:v>
      </x:c>
      <x:c r="J96" s="10" t="str">
        <x:v>Service Hapag-Lloyd</x:v>
      </x:c>
      <x:c r="K96" s="10" t="str">
        <x:v>Le Havre</x:v>
      </x:c>
      <x:c r="L96" s="10" t="str">
        <x:v>C</x:v>
      </x:c>
      <x:c r="M96" s="10" t="str">
        <x:v>https://www.marine-marchande.net/Jourlejour4/AujourleJour-539.html</x:v>
      </x:c>
      <x:c r="N96" s="10" t="str">
        <x:v>Présence havraise documentée.</x:v>
      </x:c>
    </x:row>
    <x:row r="97">
      <x:c r="A97" s="10" t="str">
        <x:v>Hapag-Lloyd</x:v>
      </x:c>
      <x:c r="B97" s="10" t="str">
        <x:v>Référentiel V4</x:v>
      </x:c>
      <x:c r="C97" s="10" t="str">
        <x:v>EU-A</x:v>
      </x:c>
      <x:c r="D97" s="10" t="str">
        <x:v>Hapag-Lloyd</x:v>
      </x:c>
      <x:c r="E97" s="10" t="str">
        <x:v>Hapag-Lloyd</x:v>
      </x:c>
      <x:c r="F97" s="10" t="str">
        <x:v>TIHAMA</x:v>
      </x:c>
      <x:c r="G97" s="10" t="str"/>
      <x:c r="H97" s="10" t="str">
        <x:v>2024-09-01</x:v>
      </x:c>
      <x:c r="I97" s="10" t="n">
        <x:v>2024</x:v>
      </x:c>
      <x:c r="J97" s="10" t="str">
        <x:v>Asie-Europe</x:v>
      </x:c>
      <x:c r="K97" s="10" t="str">
        <x:v>Le Havre</x:v>
      </x:c>
      <x:c r="L97" s="10" t="str">
        <x:v>C</x:v>
      </x:c>
      <x:c r="M97" s="10" t="str">
        <x:v>https://www.scribd.com/document/754984822/SCHEDULES-LE-HAVRE-BUSAN-AOUT-2024</x:v>
      </x:c>
      <x:c r="N97" s="10" t="str">
        <x:v>Schedule commercial Le Havre–Busan.</x:v>
      </x:c>
    </x:row>
    <x:row r="98">
      <x:c r="A98" s="10" t="str">
        <x:v>Hapag-Lloyd</x:v>
      </x:c>
      <x:c r="B98" s="10" t="str">
        <x:v>Référentiel V4</x:v>
      </x:c>
      <x:c r="C98" s="10" t="str">
        <x:v>EU-A</x:v>
      </x:c>
      <x:c r="D98" s="10" t="str">
        <x:v>Hapag-Lloyd</x:v>
      </x:c>
      <x:c r="E98" s="10" t="str">
        <x:v>Hapag-Lloyd</x:v>
      </x:c>
      <x:c r="F98" s="10" t="str">
        <x:v>XIAMEN EXPRESS</x:v>
      </x:c>
      <x:c r="G98" s="10" t="str"/>
      <x:c r="H98" s="10" t="str">
        <x:v>2025-03-15</x:v>
      </x:c>
      <x:c r="I98" s="10" t="n">
        <x:v>2025</x:v>
      </x:c>
      <x:c r="J98" s="10" t="str">
        <x:v>Service Hapag-Lloyd</x:v>
      </x:c>
      <x:c r="K98" s="10" t="str">
        <x:v>Port 2000</x:v>
      </x:c>
      <x:c r="L98" s="10" t="str">
        <x:v>C</x:v>
      </x:c>
      <x:c r="M98" s="10" t="str">
        <x:v>https://www.marine-marchande.net/Jourlejour4/AujourleJour-548.html</x:v>
      </x:c>
      <x:c r="N98" s="10" t="str">
        <x:v>Observation portuaire datée.</x:v>
      </x:c>
    </x:row>
    <x:row r="99">
      <x:c r="A99" s="10" t="str">
        <x:v>Hapag-Lloyd</x:v>
      </x:c>
      <x:c r="B99" s="10" t="str">
        <x:v>Référentiel V4</x:v>
      </x:c>
      <x:c r="C99" s="10" t="str">
        <x:v>EU-A</x:v>
      </x:c>
      <x:c r="D99" s="10" t="str">
        <x:v>Hapag-Lloyd</x:v>
      </x:c>
      <x:c r="E99" s="10" t="str">
        <x:v>Hapag-Lloyd / Gemini</x:v>
      </x:c>
      <x:c r="F99" s="10" t="str">
        <x:v>DUBAI EXPRESS</x:v>
      </x:c>
      <x:c r="G99" s="10" t="str"/>
      <x:c r="H99" s="10" t="str">
        <x:v>2025-08-15</x:v>
      </x:c>
      <x:c r="I99" s="10" t="n">
        <x:v>2025</x:v>
      </x:c>
      <x:c r="J99" s="10" t="str">
        <x:v>Gemini shuttle</x:v>
      </x:c>
      <x:c r="K99" s="10" t="str">
        <x:v>Le Havre</x:v>
      </x:c>
      <x:c r="L99" s="10" t="str">
        <x:v>B2</x:v>
      </x:c>
      <x:c r="M99" s="10" t="str">
        <x:v>https://www.hapag-lloyd.com/en/services-information/news/2025/08/gemini-cooperation--shuttle-update.html</x:v>
      </x:c>
      <x:c r="N99" s="10" t="str">
        <x:v>ETA/escale Le Havre publiée par Hapag-Lloyd.</x:v>
      </x:c>
    </x:row>
    <x:row r="100">
      <x:c r="A100" s="10" t="str">
        <x:v>Hapag-Lloyd</x:v>
      </x:c>
      <x:c r="B100" s="10" t="str">
        <x:v>Référentiel V4</x:v>
      </x:c>
      <x:c r="C100" s="10" t="str">
        <x:v>EU-A</x:v>
      </x:c>
      <x:c r="D100" s="10" t="str">
        <x:v>Hapag-Lloyd</x:v>
      </x:c>
      <x:c r="E100" s="10" t="str">
        <x:v>Hapag-Lloyd / Gemini</x:v>
      </x:c>
      <x:c r="F100" s="10" t="str">
        <x:v>HAMMONIA BALTICA</x:v>
      </x:c>
      <x:c r="G100" s="10" t="str"/>
      <x:c r="H100" s="10" t="str">
        <x:v>2025-08-06</x:v>
      </x:c>
      <x:c r="I100" s="10" t="n">
        <x:v>2025</x:v>
      </x:c>
      <x:c r="J100" s="10" t="str">
        <x:v>Gemini shuttle</x:v>
      </x:c>
      <x:c r="K100" s="10" t="str">
        <x:v>Le Havre</x:v>
      </x:c>
      <x:c r="L100" s="10" t="str">
        <x:v>B2</x:v>
      </x:c>
      <x:c r="M100" s="10" t="str">
        <x:v>https://www.hapag-lloyd.com/en/services-information/news/2025/08/gemini-cooperation--shuttle-update.html</x:v>
      </x:c>
      <x:c r="N100" s="10" t="str">
        <x:v>Escale Le Havre publiée par Hapag-Lloyd.</x:v>
      </x:c>
    </x:row>
    <x:row r="101">
      <x:c r="A101" s="10" t="str">
        <x:v>Hapag-Lloyd</x:v>
      </x:c>
      <x:c r="B101" s="10" t="str">
        <x:v>Référentiel V4</x:v>
      </x:c>
      <x:c r="C101" s="10" t="str">
        <x:v>EU-A</x:v>
      </x:c>
      <x:c r="D101" s="10" t="str">
        <x:v>Hapag-Lloyd</x:v>
      </x:c>
      <x:c r="E101" s="10" t="str">
        <x:v>Hapag-Lloyd / navire affrété</x:v>
      </x:c>
      <x:c r="F101" s="10" t="str">
        <x:v>IRENES RESOLVE</x:v>
      </x:c>
      <x:c r="G101" s="10" t="str"/>
      <x:c r="H101" s="10" t="str">
        <x:v>2024-07-22</x:v>
      </x:c>
      <x:c r="I101" s="10" t="n">
        <x:v>2024</x:v>
      </x:c>
      <x:c r="J101" s="10" t="str">
        <x:v>Service Hapag-Lloyd</x:v>
      </x:c>
      <x:c r="K101" s="10" t="str">
        <x:v>Le Havre</x:v>
      </x:c>
      <x:c r="L101" s="10" t="str">
        <x:v>C</x:v>
      </x:c>
      <x:c r="M101" s="10" t="str">
        <x:v>https://www.marine-marchande.net/Jourlejour4/AujourleJour-539.html</x:v>
      </x:c>
      <x:c r="N101" s="10" t="str">
        <x:v>Présence havraise documentée.</x:v>
      </x:c>
    </x:row>
    <x:row r="102">
      <x:c r="A102" s="10" t="str">
        <x:v>MSC (Mediterranean Shipping Company)</x:v>
      </x:c>
      <x:c r="B102" s="10" t="str">
        <x:v>Référentiel V4</x:v>
      </x:c>
      <x:c r="C102" s="10" t="str">
        <x:v>EU-A</x:v>
      </x:c>
      <x:c r="D102" s="10" t="str">
        <x:v>MSC</x:v>
      </x:c>
      <x:c r="E102" s="10" t="str">
        <x:v>MSC</x:v>
      </x:c>
      <x:c r="F102" s="10" t="str">
        <x:v>LE HAVRE</x:v>
      </x:c>
      <x:c r="G102" s="10" t="str">
        <x:v>9307243</x:v>
      </x:c>
      <x:c r="H102" s="10" t="str">
        <x:v>2023-09-20</x:v>
      </x:c>
      <x:c r="I102" s="10" t="n">
        <x:v>2023</x:v>
      </x:c>
      <x:c r="J102" s="10" t="str">
        <x:v>Service MSC</x:v>
      </x:c>
      <x:c r="K102" s="10" t="str">
        <x:v>Le Havre</x:v>
      </x:c>
      <x:c r="L102" s="10" t="str">
        <x:v>C</x:v>
      </x:c>
      <x:c r="M102" s="10" t="str">
        <x:v>https://www.marine-marchande.net/Jourlejour4/AujourleJour-529.html</x:v>
      </x:c>
      <x:c r="N102" s="10" t="str">
        <x:v>Porte-conteneurs nommé LE HAVRE, exploité sur service MSC.</x:v>
      </x:c>
    </x:row>
    <x:row r="103">
      <x:c r="A103" s="10" t="str">
        <x:v>MSC (Mediterranean Shipping Company)</x:v>
      </x:c>
      <x:c r="B103" s="10" t="str">
        <x:v>Référentiel V4</x:v>
      </x:c>
      <x:c r="C103" s="10" t="str">
        <x:v>EU-A</x:v>
      </x:c>
      <x:c r="D103" s="10" t="str">
        <x:v>MSC</x:v>
      </x:c>
      <x:c r="E103" s="10" t="str">
        <x:v>MSC</x:v>
      </x:c>
      <x:c r="F103" s="10" t="str">
        <x:v>MSC ABIGAIL F</x:v>
      </x:c>
      <x:c r="G103" s="10" t="str"/>
      <x:c r="H103" s="10" t="str">
        <x:v>2023-02-19</x:v>
      </x:c>
      <x:c r="I103" s="10" t="n">
        <x:v>2023</x:v>
      </x:c>
      <x:c r="J103" s="10" t="str">
        <x:v>Feeder / MSC</x:v>
      </x:c>
      <x:c r="K103" s="10" t="str">
        <x:v>Port 2000</x:v>
      </x:c>
      <x:c r="L103" s="10" t="str">
        <x:v>C</x:v>
      </x:c>
      <x:c r="M103" s="10" t="str">
        <x:v>https://www.marine-marchande.net/Jourlejour4/AujourleJour-521.html</x:v>
      </x:c>
      <x:c r="N103" s="10" t="str">
        <x:v>Arrivée de Dunkerque documentée.</x:v>
      </x:c>
    </x:row>
    <x:row r="104">
      <x:c r="A104" s="10" t="str">
        <x:v>MSC (Mediterranean Shipping Company)</x:v>
      </x:c>
      <x:c r="B104" s="10" t="str">
        <x:v>Référentiel V4</x:v>
      </x:c>
      <x:c r="C104" s="10" t="str">
        <x:v>EU-A</x:v>
      </x:c>
      <x:c r="D104" s="10" t="str">
        <x:v>MSC</x:v>
      </x:c>
      <x:c r="E104" s="10" t="str">
        <x:v>MSC</x:v>
      </x:c>
      <x:c r="F104" s="10" t="str">
        <x:v>MSC ALLEGRA</x:v>
      </x:c>
      <x:c r="G104" s="10" t="str">
        <x:v>9897028</x:v>
      </x:c>
      <x:c r="H104" s="10" t="str">
        <x:v>2023-02-04</x:v>
      </x:c>
      <x:c r="I104" s="10" t="n">
        <x:v>2023</x:v>
      </x:c>
      <x:c r="J104" s="10" t="str">
        <x:v>Service MSC</x:v>
      </x:c>
      <x:c r="K104" s="10" t="str">
        <x:v>Le Havre</x:v>
      </x:c>
      <x:c r="L104" s="10" t="str">
        <x:v>C</x:v>
      </x:c>
      <x:c r="M104" s="10" t="str">
        <x:v>https://www.marine-marchande.net/Jourlejour4/AujourleJour-521.html</x:v>
      </x:c>
      <x:c r="N104" s="10" t="str">
        <x:v>Présence havraise documentée.</x:v>
      </x:c>
    </x:row>
    <x:row r="105">
      <x:c r="A105" s="10" t="str">
        <x:v>MSC (Mediterranean Shipping Company)</x:v>
      </x:c>
      <x:c r="B105" s="10" t="str">
        <x:v>Référentiel V4</x:v>
      </x:c>
      <x:c r="C105" s="10" t="str">
        <x:v>EU-A</x:v>
      </x:c>
      <x:c r="D105" s="10" t="str">
        <x:v>MSC</x:v>
      </x:c>
      <x:c r="E105" s="10" t="str">
        <x:v>MSC</x:v>
      </x:c>
      <x:c r="F105" s="10" t="str">
        <x:v>MSC ANISHA R.</x:v>
      </x:c>
      <x:c r="G105" s="10" t="str"/>
      <x:c r="H105" s="10" t="str">
        <x:v>2024-03-23</x:v>
      </x:c>
      <x:c r="I105" s="10" t="n">
        <x:v>2024</x:v>
      </x:c>
      <x:c r="J105" s="10" t="str">
        <x:v>Service MSC</x:v>
      </x:c>
      <x:c r="K105" s="10" t="str">
        <x:v>Le Havre</x:v>
      </x:c>
      <x:c r="L105" s="10" t="str">
        <x:v>C</x:v>
      </x:c>
      <x:c r="M105" s="10" t="str">
        <x:v>https://www.marine-marchande.net/Jourlejour4/AujourleJour-534.html</x:v>
      </x:c>
      <x:c r="N105" s="10" t="str">
        <x:v>Présence havraise documentée sur le week-end du 23–24 mars.</x:v>
      </x:c>
    </x:row>
    <x:row r="106">
      <x:c r="A106" s="10" t="str">
        <x:v>MSC (Mediterranean Shipping Company)</x:v>
      </x:c>
      <x:c r="B106" s="10" t="str">
        <x:v>Référentiel V4</x:v>
      </x:c>
      <x:c r="C106" s="10" t="str">
        <x:v>EU-A</x:v>
      </x:c>
      <x:c r="D106" s="10" t="str">
        <x:v>MSC</x:v>
      </x:c>
      <x:c r="E106" s="10" t="str">
        <x:v>MSC</x:v>
      </x:c>
      <x:c r="F106" s="10" t="str">
        <x:v>MSC ANS</x:v>
      </x:c>
      <x:c r="G106" s="10" t="str"/>
      <x:c r="H106" s="10" t="str">
        <x:v>2024-03-18</x:v>
      </x:c>
      <x:c r="I106" s="10" t="n">
        <x:v>2024</x:v>
      </x:c>
      <x:c r="J106" s="10" t="str">
        <x:v>ZNT / service partagé</x:v>
      </x:c>
      <x:c r="K106" s="10" t="str">
        <x:v>Le Havre</x:v>
      </x:c>
      <x:c r="L106" s="10" t="str">
        <x:v>B2</x:v>
      </x:c>
      <x:c r="M106" s="10" t="str">
        <x:v>https://www.zim.com/es/news/customer-advisory/zim-announces-changes-to-its-north-europe-tuerkiye-service-znt-line</x:v>
      </x:c>
      <x:c r="N106" s="10" t="str">
        <x:v>Départ du Havre documenté par ZIM.</x:v>
      </x:c>
    </x:row>
    <x:row r="107">
      <x:c r="A107" s="10" t="str">
        <x:v>MSC (Mediterranean Shipping Company)</x:v>
      </x:c>
      <x:c r="B107" s="10" t="str">
        <x:v>Référentiel V4</x:v>
      </x:c>
      <x:c r="C107" s="10" t="str">
        <x:v>EU-A</x:v>
      </x:c>
      <x:c r="D107" s="10" t="str">
        <x:v>MSC</x:v>
      </x:c>
      <x:c r="E107" s="10" t="str">
        <x:v>MSC</x:v>
      </x:c>
      <x:c r="F107" s="10" t="str">
        <x:v>MSC ANYA</x:v>
      </x:c>
      <x:c r="G107" s="10" t="str"/>
      <x:c r="H107" s="10" t="str">
        <x:v>2025-06-20</x:v>
      </x:c>
      <x:c r="I107" s="10" t="n">
        <x:v>2025</x:v>
      </x:c>
      <x:c r="J107" s="10" t="str">
        <x:v>Service MSC</x:v>
      </x:c>
      <x:c r="K107" s="10" t="str">
        <x:v>Port 2000</x:v>
      </x:c>
      <x:c r="L107" s="10" t="str">
        <x:v>C</x:v>
      </x:c>
      <x:c r="M107" s="10" t="str">
        <x:v>https://www.marine-marchande.net/Jourlejour4/AujourleJour-550.html</x:v>
      </x:c>
      <x:c r="N107" s="10" t="str">
        <x:v>Observation portuaire datée.</x:v>
      </x:c>
    </x:row>
    <x:row r="108">
      <x:c r="A108" s="10" t="str">
        <x:v>MSC (Mediterranean Shipping Company)</x:v>
      </x:c>
      <x:c r="B108" s="10" t="str">
        <x:v>Référentiel V4</x:v>
      </x:c>
      <x:c r="C108" s="10" t="str">
        <x:v>EU-A</x:v>
      </x:c>
      <x:c r="D108" s="10" t="str">
        <x:v>MSC</x:v>
      </x:c>
      <x:c r="E108" s="10" t="str">
        <x:v>MSC</x:v>
      </x:c>
      <x:c r="F108" s="10" t="str">
        <x:v>MSC ATHENS</x:v>
      </x:c>
      <x:c r="G108" s="10" t="str"/>
      <x:c r="H108" s="10" t="str">
        <x:v>2024-03-23</x:v>
      </x:c>
      <x:c r="I108" s="10" t="n">
        <x:v>2024</x:v>
      </x:c>
      <x:c r="J108" s="10" t="str">
        <x:v>Service MSC</x:v>
      </x:c>
      <x:c r="K108" s="10" t="str">
        <x:v>Port 2000</x:v>
      </x:c>
      <x:c r="L108" s="10" t="str">
        <x:v>C</x:v>
      </x:c>
      <x:c r="M108" s="10" t="str">
        <x:v>https://www.marine-marchande.net/Jourlejour4/AujourleJour-534.html</x:v>
      </x:c>
      <x:c r="N108" s="10" t="str">
        <x:v>Arrivée de Felixstowe documentée.</x:v>
      </x:c>
    </x:row>
    <x:row r="109">
      <x:c r="A109" s="10" t="str">
        <x:v>MSC (Mediterranean Shipping Company)</x:v>
      </x:c>
      <x:c r="B109" s="10" t="str">
        <x:v>Référentiel V4</x:v>
      </x:c>
      <x:c r="C109" s="10" t="str">
        <x:v>EU-A</x:v>
      </x:c>
      <x:c r="D109" s="10" t="str">
        <x:v>MSC</x:v>
      </x:c>
      <x:c r="E109" s="10" t="str">
        <x:v>MSC</x:v>
      </x:c>
      <x:c r="F109" s="10" t="str">
        <x:v>MSC BIANCA SILVIA</x:v>
      </x:c>
      <x:c r="G109" s="10" t="str"/>
      <x:c r="H109" s="10" t="str">
        <x:v>2023-06-21</x:v>
      </x:c>
      <x:c r="I109" s="10" t="n">
        <x:v>2023</x:v>
      </x:c>
      <x:c r="J109" s="10" t="str">
        <x:v>Griffin / 2M</x:v>
      </x:c>
      <x:c r="K109" s="10" t="str">
        <x:v>Terminal de Normandie</x:v>
      </x:c>
      <x:c r="L109" s="10" t="str">
        <x:v>A1</x:v>
      </x:c>
      <x:c r="M109" s="10" t="str">
        <x:v>https://www.haropaport.com/fr/actualites/le-havre-double-escale-inaugurale-avec-les-derniers-nes-de-larmement-msc</x:v>
      </x:c>
      <x:c r="N109" s="10" t="str">
        <x:v>Escale inaugurale HAROPA.</x:v>
      </x:c>
    </x:row>
    <x:row r="110">
      <x:c r="A110" s="10" t="str">
        <x:v>MSC (Mediterranean Shipping Company)</x:v>
      </x:c>
      <x:c r="B110" s="10" t="str">
        <x:v>Référentiel V4</x:v>
      </x:c>
      <x:c r="C110" s="10" t="str">
        <x:v>EU-A</x:v>
      </x:c>
      <x:c r="D110" s="10" t="str">
        <x:v>MSC</x:v>
      </x:c>
      <x:c r="E110" s="10" t="str">
        <x:v>MSC</x:v>
      </x:c>
      <x:c r="F110" s="10" t="str">
        <x:v>MSC DIANA</x:v>
      </x:c>
      <x:c r="G110" s="10" t="str"/>
      <x:c r="H110" s="10" t="str">
        <x:v>2023-08-29</x:v>
      </x:c>
      <x:c r="I110" s="10" t="n">
        <x:v>2023</x:v>
      </x:c>
      <x:c r="J110" s="10" t="str">
        <x:v>Asie-Europe</x:v>
      </x:c>
      <x:c r="K110" s="10" t="str">
        <x:v>Le Havre</x:v>
      </x:c>
      <x:c r="L110" s="10" t="str">
        <x:v>C</x:v>
      </x:c>
      <x:c r="M110" s="10" t="str">
        <x:v>https://www.marine-marchande.net/Jourlejour4/AujourleJour-528.html</x:v>
      </x:c>
      <x:c r="N110" s="10" t="str">
        <x:v>Observation portuaire datée.</x:v>
      </x:c>
    </x:row>
    <x:row r="111">
      <x:c r="A111" s="10" t="str">
        <x:v>MSC (Mediterranean Shipping Company)</x:v>
      </x:c>
      <x:c r="B111" s="10" t="str">
        <x:v>Référentiel V4</x:v>
      </x:c>
      <x:c r="C111" s="10" t="str">
        <x:v>EU-A</x:v>
      </x:c>
      <x:c r="D111" s="10" t="str">
        <x:v>MSC</x:v>
      </x:c>
      <x:c r="E111" s="10" t="str">
        <x:v>MSC</x:v>
      </x:c>
      <x:c r="F111" s="10" t="str">
        <x:v>MSC DOLETTE</x:v>
      </x:c>
      <x:c r="G111" s="10" t="str"/>
      <x:c r="H111" s="10" t="str">
        <x:v>2026-05-04</x:v>
      </x:c>
      <x:c r="I111" s="10" t="n">
        <x:v>2026</x:v>
      </x:c>
      <x:c r="J111" s="10" t="str">
        <x:v>Service MSC</x:v>
      </x:c>
      <x:c r="K111" s="10" t="str">
        <x:v>Port 2000</x:v>
      </x:c>
      <x:c r="L111" s="10" t="str">
        <x:v>C</x:v>
      </x:c>
      <x:c r="M111" s="10" t="str">
        <x:v>https://www.marine-marchande.net/Jourlejour4/AujourleJour-561.html</x:v>
      </x:c>
      <x:c r="N111" s="10" t="str">
        <x:v>Observation portuaire datée.</x:v>
      </x:c>
    </x:row>
    <x:row r="112">
      <x:c r="A112" s="10" t="str">
        <x:v>MSC (Mediterranean Shipping Company)</x:v>
      </x:c>
      <x:c r="B112" s="10" t="str">
        <x:v>Référentiel V4</x:v>
      </x:c>
      <x:c r="C112" s="10" t="str">
        <x:v>EU-A</x:v>
      </x:c>
      <x:c r="D112" s="10" t="str">
        <x:v>MSC</x:v>
      </x:c>
      <x:c r="E112" s="10" t="str">
        <x:v>MSC</x:v>
      </x:c>
      <x:c r="F112" s="10" t="str">
        <x:v>MSC ELLEN</x:v>
      </x:c>
      <x:c r="G112" s="10" t="str">
        <x:v>9166780</x:v>
      </x:c>
      <x:c r="H112" s="10" t="str">
        <x:v>2024-12-04</x:v>
      </x:c>
      <x:c r="I112" s="10" t="n">
        <x:v>2024</x:v>
      </x:c>
      <x:c r="J112" s="10" t="str">
        <x:v>Service MSC</x:v>
      </x:c>
      <x:c r="K112" s="10" t="str">
        <x:v>Port 2000</x:v>
      </x:c>
      <x:c r="L112" s="10" t="str">
        <x:v>C</x:v>
      </x:c>
      <x:c r="M112" s="10" t="str">
        <x:v>https://www.marine-marchande.net/Jourlejour4/AujourleJour-543.html</x:v>
      </x:c>
      <x:c r="N112" s="10" t="str">
        <x:v>Arrivée au Havre documentée.</x:v>
      </x:c>
    </x:row>
    <x:row r="113">
      <x:c r="A113" s="10" t="str">
        <x:v>MSC (Mediterranean Shipping Company)</x:v>
      </x:c>
      <x:c r="B113" s="10" t="str">
        <x:v>Référentiel V4</x:v>
      </x:c>
      <x:c r="C113" s="10" t="str">
        <x:v>EU-A</x:v>
      </x:c>
      <x:c r="D113" s="10" t="str">
        <x:v>MSC</x:v>
      </x:c>
      <x:c r="E113" s="10" t="str">
        <x:v>MSC</x:v>
      </x:c>
      <x:c r="F113" s="10" t="str">
        <x:v>MSC FATMA</x:v>
      </x:c>
      <x:c r="G113" s="10" t="str">
        <x:v>9927251</x:v>
      </x:c>
      <x:c r="H113" s="10" t="str">
        <x:v>2025-08-27</x:v>
      </x:c>
      <x:c r="I113" s="10" t="n">
        <x:v>2025</x:v>
      </x:c>
      <x:c r="J113" s="10" t="str">
        <x:v>Service MSC</x:v>
      </x:c>
      <x:c r="K113" s="10" t="str">
        <x:v>Port 2000</x:v>
      </x:c>
      <x:c r="L113" s="10" t="str">
        <x:v>C</x:v>
      </x:c>
      <x:c r="M113" s="10" t="str">
        <x:v>https://www.marine-marchande.net/Jourlejour4/AujourleJour-552.html</x:v>
      </x:c>
      <x:c r="N113" s="10" t="str">
        <x:v>Observation portuaire datée.</x:v>
      </x:c>
    </x:row>
    <x:row r="114">
      <x:c r="A114" s="10" t="str">
        <x:v>MSC (Mediterranean Shipping Company)</x:v>
      </x:c>
      <x:c r="B114" s="10" t="str">
        <x:v>Référentiel V4</x:v>
      </x:c>
      <x:c r="C114" s="10" t="str">
        <x:v>EU-A</x:v>
      </x:c>
      <x:c r="D114" s="10" t="str">
        <x:v>MSC</x:v>
      </x:c>
      <x:c r="E114" s="10" t="str">
        <x:v>MSC</x:v>
      </x:c>
      <x:c r="F114" s="10" t="str">
        <x:v>MSC FERROL II</x:v>
      </x:c>
      <x:c r="G114" s="10" t="str">
        <x:v>9359325</x:v>
      </x:c>
      <x:c r="H114" s="10" t="str">
        <x:v>2026-04</x:v>
      </x:c>
      <x:c r="I114" s="10" t="n">
        <x:v>2026</x:v>
      </x:c>
      <x:c r="J114" s="10" t="str">
        <x:v>Service MSC</x:v>
      </x:c>
      <x:c r="K114" s="10" t="str">
        <x:v>Le Havre</x:v>
      </x:c>
      <x:c r="L114" s="10" t="str">
        <x:v>C</x:v>
      </x:c>
      <x:c r="M114" s="10" t="str">
        <x:v>https://www.marine-marchande.net/Jourlejour4/AujourleJour-559.html</x:v>
      </x:c>
      <x:c r="N114" s="10" t="str">
        <x:v>Présence havraise documentée début avril 2026.</x:v>
      </x:c>
    </x:row>
    <x:row r="115">
      <x:c r="A115" s="10" t="str">
        <x:v>MSC (Mediterranean Shipping Company)</x:v>
      </x:c>
      <x:c r="B115" s="10" t="str">
        <x:v>Référentiel V4</x:v>
      </x:c>
      <x:c r="C115" s="10" t="str">
        <x:v>EU-A</x:v>
      </x:c>
      <x:c r="D115" s="10" t="str">
        <x:v>MSC</x:v>
      </x:c>
      <x:c r="E115" s="10" t="str">
        <x:v>MSC</x:v>
      </x:c>
      <x:c r="F115" s="10" t="str">
        <x:v>MSC GEMMA</x:v>
      </x:c>
      <x:c r="G115" s="10" t="str"/>
      <x:c r="H115" s="10" t="str">
        <x:v>2024-06-03</x:v>
      </x:c>
      <x:c r="I115" s="10" t="n">
        <x:v>2024</x:v>
      </x:c>
      <x:c r="J115" s="10" t="str">
        <x:v>Asie-Europe</x:v>
      </x:c>
      <x:c r="K115" s="10" t="str">
        <x:v>Port 2000</x:v>
      </x:c>
      <x:c r="L115" s="10" t="str">
        <x:v>C</x:v>
      </x:c>
      <x:c r="M115" s="10" t="str">
        <x:v>https://www.marine-marchande.net/Jourlejour4/AujourleJour-537.html</x:v>
      </x:c>
      <x:c r="N115" s="10" t="str">
        <x:v>Observation portuaire datée.</x:v>
      </x:c>
    </x:row>
    <x:row r="116">
      <x:c r="A116" s="10" t="str">
        <x:v>MSC (Mediterranean Shipping Company)</x:v>
      </x:c>
      <x:c r="B116" s="10" t="str">
        <x:v>Référentiel V4</x:v>
      </x:c>
      <x:c r="C116" s="10" t="str">
        <x:v>EU-A</x:v>
      </x:c>
      <x:c r="D116" s="10" t="str">
        <x:v>MSC</x:v>
      </x:c>
      <x:c r="E116" s="10" t="str">
        <x:v>MSC</x:v>
      </x:c>
      <x:c r="F116" s="10" t="str">
        <x:v>MSC GIUSY</x:v>
      </x:c>
      <x:c r="G116" s="10" t="str">
        <x:v>9947134</x:v>
      </x:c>
      <x:c r="H116" s="10" t="str">
        <x:v>2026-03-30</x:v>
      </x:c>
      <x:c r="I116" s="10" t="n">
        <x:v>2026</x:v>
      </x:c>
      <x:c r="J116" s="10" t="str">
        <x:v>Service MSC</x:v>
      </x:c>
      <x:c r="K116" s="10" t="str">
        <x:v>Port 2000</x:v>
      </x:c>
      <x:c r="L116" s="10" t="str">
        <x:v>C</x:v>
      </x:c>
      <x:c r="M116" s="10" t="str">
        <x:v>https://www.marine-marchande.net/Jourlejour4/AujourleJour-559.html</x:v>
      </x:c>
      <x:c r="N116" s="10" t="str">
        <x:v>Observation portuaire datée.</x:v>
      </x:c>
    </x:row>
    <x:row r="117">
      <x:c r="A117" s="10" t="str">
        <x:v>MSC (Mediterranean Shipping Company)</x:v>
      </x:c>
      <x:c r="B117" s="10" t="str">
        <x:v>Référentiel V4</x:v>
      </x:c>
      <x:c r="C117" s="10" t="str">
        <x:v>EU-A</x:v>
      </x:c>
      <x:c r="D117" s="10" t="str">
        <x:v>MSC</x:v>
      </x:c>
      <x:c r="E117" s="10" t="str">
        <x:v>MSC</x:v>
      </x:c>
      <x:c r="F117" s="10" t="str">
        <x:v>MSC HAMBURG</x:v>
      </x:c>
      <x:c r="G117" s="10" t="str"/>
      <x:c r="H117" s="10" t="str">
        <x:v>2024-03-23</x:v>
      </x:c>
      <x:c r="I117" s="10" t="n">
        <x:v>2024</x:v>
      </x:c>
      <x:c r="J117" s="10" t="str">
        <x:v>Service MSC</x:v>
      </x:c>
      <x:c r="K117" s="10" t="str">
        <x:v>Le Havre</x:v>
      </x:c>
      <x:c r="L117" s="10" t="str">
        <x:v>C</x:v>
      </x:c>
      <x:c r="M117" s="10" t="str">
        <x:v>https://www.marine-marchande.net/Jourlejour4/AujourleJour-534.html</x:v>
      </x:c>
      <x:c r="N117" s="10" t="str">
        <x:v>Arrivée d'Anvers documentée.</x:v>
      </x:c>
    </x:row>
    <x:row r="118">
      <x:c r="A118" s="10" t="str">
        <x:v>MSC (Mediterranean Shipping Company)</x:v>
      </x:c>
      <x:c r="B118" s="10" t="str">
        <x:v>Référentiel V4</x:v>
      </x:c>
      <x:c r="C118" s="10" t="str">
        <x:v>EU-A</x:v>
      </x:c>
      <x:c r="D118" s="10" t="str">
        <x:v>MSC</x:v>
      </x:c>
      <x:c r="E118" s="10" t="str">
        <x:v>MSC</x:v>
      </x:c>
      <x:c r="F118" s="10" t="str">
        <x:v>MSC HEIDI</x:v>
      </x:c>
      <x:c r="G118" s="10" t="str"/>
      <x:c r="H118" s="10" t="str">
        <x:v>2025-02-25</x:v>
      </x:c>
      <x:c r="I118" s="10" t="n">
        <x:v>2025</x:v>
      </x:c>
      <x:c r="J118" s="10" t="str">
        <x:v>Service MSC</x:v>
      </x:c>
      <x:c r="K118" s="10" t="str">
        <x:v>Port 2000</x:v>
      </x:c>
      <x:c r="L118" s="10" t="str">
        <x:v>C</x:v>
      </x:c>
      <x:c r="M118" s="10" t="str">
        <x:v>https://www.marine-marchande.net/Jourlejour4/AujourleJour-547.html</x:v>
      </x:c>
      <x:c r="N118" s="10" t="str">
        <x:v>Observation portuaire datée.</x:v>
      </x:c>
    </x:row>
    <x:row r="119">
      <x:c r="A119" s="10" t="str">
        <x:v>MSC (Mediterranean Shipping Company)</x:v>
      </x:c>
      <x:c r="B119" s="10" t="str">
        <x:v>Référentiel V4</x:v>
      </x:c>
      <x:c r="C119" s="10" t="str">
        <x:v>EU-A</x:v>
      </x:c>
      <x:c r="D119" s="10" t="str">
        <x:v>MSC</x:v>
      </x:c>
      <x:c r="E119" s="10" t="str">
        <x:v>MSC</x:v>
      </x:c>
      <x:c r="F119" s="10" t="str">
        <x:v>MSC HELENA III</x:v>
      </x:c>
      <x:c r="G119" s="10" t="str"/>
      <x:c r="H119" s="10" t="str">
        <x:v>2024-07-21</x:v>
      </x:c>
      <x:c r="I119" s="10" t="n">
        <x:v>2024</x:v>
      </x:c>
      <x:c r="J119" s="10" t="str">
        <x:v>Service MSC</x:v>
      </x:c>
      <x:c r="K119" s="10" t="str">
        <x:v>Le Havre</x:v>
      </x:c>
      <x:c r="L119" s="10" t="str">
        <x:v>C</x:v>
      </x:c>
      <x:c r="M119" s="10" t="str">
        <x:v>https://www.marine-marchande.net/Jourlejour4/AujourleJour-539.html</x:v>
      </x:c>
      <x:c r="N119" s="10" t="str">
        <x:v>Présence havraise documentée.</x:v>
      </x:c>
    </x:row>
    <x:row r="120">
      <x:c r="A120" s="10" t="str">
        <x:v>MSC (Mediterranean Shipping Company)</x:v>
      </x:c>
      <x:c r="B120" s="10" t="str">
        <x:v>Référentiel V4</x:v>
      </x:c>
      <x:c r="C120" s="10" t="str">
        <x:v>EU-A</x:v>
      </x:c>
      <x:c r="D120" s="10" t="str">
        <x:v>MSC</x:v>
      </x:c>
      <x:c r="E120" s="10" t="str">
        <x:v>MSC</x:v>
      </x:c>
      <x:c r="F120" s="10" t="str">
        <x:v>MSC IERANTO</x:v>
      </x:c>
      <x:c r="G120" s="10" t="str">
        <x:v>9963619</x:v>
      </x:c>
      <x:c r="H120" s="10" t="str">
        <x:v>2026-04-15</x:v>
      </x:c>
      <x:c r="I120" s="10" t="n">
        <x:v>2026</x:v>
      </x:c>
      <x:c r="J120" s="10" t="str">
        <x:v>Service MSC</x:v>
      </x:c>
      <x:c r="K120" s="10" t="str">
        <x:v>Port 2000</x:v>
      </x:c>
      <x:c r="L120" s="10" t="str">
        <x:v>C</x:v>
      </x:c>
      <x:c r="M120" s="10" t="str">
        <x:v>https://www.marine-marchande.net/Jourlejour4/AujourleJour-560.html</x:v>
      </x:c>
      <x:c r="N120" s="10" t="str">
        <x:v>Observation portuaire datée.</x:v>
      </x:c>
    </x:row>
    <x:row r="121">
      <x:c r="A121" s="10" t="str">
        <x:v>MSC (Mediterranean Shipping Company)</x:v>
      </x:c>
      <x:c r="B121" s="10" t="str">
        <x:v>Référentiel V4</x:v>
      </x:c>
      <x:c r="C121" s="10" t="str">
        <x:v>EU-A</x:v>
      </x:c>
      <x:c r="D121" s="10" t="str">
        <x:v>MSC</x:v>
      </x:c>
      <x:c r="E121" s="10" t="str">
        <x:v>MSC</x:v>
      </x:c>
      <x:c r="F121" s="10" t="str">
        <x:v>MSC IKARIA VI</x:v>
      </x:c>
      <x:c r="G121" s="10" t="str">
        <x:v>9261449</x:v>
      </x:c>
      <x:c r="H121" s="10" t="str">
        <x:v>2025-02-14</x:v>
      </x:c>
      <x:c r="I121" s="10" t="n">
        <x:v>2025</x:v>
      </x:c>
      <x:c r="J121" s="10" t="str">
        <x:v>Service MSC</x:v>
      </x:c>
      <x:c r="K121" s="10" t="str">
        <x:v>Le Havre</x:v>
      </x:c>
      <x:c r="L121" s="10" t="str">
        <x:v>C</x:v>
      </x:c>
      <x:c r="M121" s="10" t="str">
        <x:v>https://www.marine-marchande.net/Jourlejour4/AujourleJour-546.html</x:v>
      </x:c>
      <x:c r="N121" s="10" t="str">
        <x:v>Fin de rotation nord-européenne au Havre.</x:v>
      </x:c>
    </x:row>
    <x:row r="122">
      <x:c r="A122" s="10" t="str">
        <x:v>MSC (Mediterranean Shipping Company)</x:v>
      </x:c>
      <x:c r="B122" s="10" t="str">
        <x:v>Référentiel V4</x:v>
      </x:c>
      <x:c r="C122" s="10" t="str">
        <x:v>EU-A</x:v>
      </x:c>
      <x:c r="D122" s="10" t="str">
        <x:v>MSC</x:v>
      </x:c>
      <x:c r="E122" s="10" t="str">
        <x:v>MSC</x:v>
      </x:c>
      <x:c r="F122" s="10" t="str">
        <x:v>MSC ISTANBUL</x:v>
      </x:c>
      <x:c r="G122" s="10" t="str">
        <x:v>9606326</x:v>
      </x:c>
      <x:c r="H122" s="10" t="str">
        <x:v>2024-06-03</x:v>
      </x:c>
      <x:c r="I122" s="10" t="n">
        <x:v>2024</x:v>
      </x:c>
      <x:c r="J122" s="10" t="str">
        <x:v>Asie-Europe</x:v>
      </x:c>
      <x:c r="K122" s="10" t="str">
        <x:v>Port 2000</x:v>
      </x:c>
      <x:c r="L122" s="10" t="str">
        <x:v>C</x:v>
      </x:c>
      <x:c r="M122" s="10" t="str">
        <x:v>https://www.marine-marchande.net/Jourlejour4/AujourleJour-537.html</x:v>
      </x:c>
      <x:c r="N122" s="10" t="str">
        <x:v>Observation portuaire datée.</x:v>
      </x:c>
    </x:row>
    <x:row r="123">
      <x:c r="A123" s="10" t="str">
        <x:v>MSC (Mediterranean Shipping Company)</x:v>
      </x:c>
      <x:c r="B123" s="10" t="str">
        <x:v>Référentiel V4</x:v>
      </x:c>
      <x:c r="C123" s="10" t="str">
        <x:v>EU-A</x:v>
      </x:c>
      <x:c r="D123" s="10" t="str">
        <x:v>MSC</x:v>
      </x:c>
      <x:c r="E123" s="10" t="str">
        <x:v>MSC</x:v>
      </x:c>
      <x:c r="F123" s="10" t="str">
        <x:v>MSC JENNIFER II</x:v>
      </x:c>
      <x:c r="G123" s="10" t="str"/>
      <x:c r="H123" s="10" t="str">
        <x:v>2025-06-13</x:v>
      </x:c>
      <x:c r="I123" s="10" t="n">
        <x:v>2025</x:v>
      </x:c>
      <x:c r="J123" s="10" t="str">
        <x:v>Service MSC</x:v>
      </x:c>
      <x:c r="K123" s="10" t="str">
        <x:v>Port 2000</x:v>
      </x:c>
      <x:c r="L123" s="10" t="str">
        <x:v>C</x:v>
      </x:c>
      <x:c r="M123" s="10" t="str">
        <x:v>https://www.marine-marchande.net/Jourlejour4/AujourleJour-550.html</x:v>
      </x:c>
      <x:c r="N123" s="10" t="str">
        <x:v>Observation portuaire datée.</x:v>
      </x:c>
    </x:row>
    <x:row r="124">
      <x:c r="A124" s="10" t="str">
        <x:v>MSC (Mediterranean Shipping Company)</x:v>
      </x:c>
      <x:c r="B124" s="10" t="str">
        <x:v>Référentiel V4</x:v>
      </x:c>
      <x:c r="C124" s="10" t="str">
        <x:v>EU-A</x:v>
      </x:c>
      <x:c r="D124" s="10" t="str">
        <x:v>MSC</x:v>
      </x:c>
      <x:c r="E124" s="10" t="str">
        <x:v>MSC</x:v>
      </x:c>
      <x:c r="F124" s="10" t="str">
        <x:v>MSC JERSEY</x:v>
      </x:c>
      <x:c r="G124" s="10" t="str">
        <x:v>9622007</x:v>
      </x:c>
      <x:c r="H124" s="10" t="str">
        <x:v>2024-06-07</x:v>
      </x:c>
      <x:c r="I124" s="10" t="n">
        <x:v>2024</x:v>
      </x:c>
      <x:c r="J124" s="10" t="str">
        <x:v>Service MSC</x:v>
      </x:c>
      <x:c r="K124" s="10" t="str">
        <x:v>Le Havre</x:v>
      </x:c>
      <x:c r="L124" s="10" t="str">
        <x:v>C</x:v>
      </x:c>
      <x:c r="M124" s="10" t="str">
        <x:v>https://www.marine-marchande.net/Jourlejour4/AujourleJour-537.html</x:v>
      </x:c>
      <x:c r="N124" s="10" t="str">
        <x:v>Mouvement portuaire daté.</x:v>
      </x:c>
    </x:row>
    <x:row r="125">
      <x:c r="A125" s="10" t="str">
        <x:v>MSC (Mediterranean Shipping Company)</x:v>
      </x:c>
      <x:c r="B125" s="10" t="str">
        <x:v>Référentiel V4</x:v>
      </x:c>
      <x:c r="C125" s="10" t="str">
        <x:v>EU-A</x:v>
      </x:c>
      <x:c r="D125" s="10" t="str">
        <x:v>MSC</x:v>
      </x:c>
      <x:c r="E125" s="10" t="str">
        <x:v>MSC</x:v>
      </x:c>
      <x:c r="F125" s="10" t="str">
        <x:v>MSC JOANNA</x:v>
      </x:c>
      <x:c r="G125" s="10" t="str"/>
      <x:c r="H125" s="10" t="str">
        <x:v>2023-04-12</x:v>
      </x:c>
      <x:c r="I125" s="10" t="n">
        <x:v>2023</x:v>
      </x:c>
      <x:c r="J125" s="10" t="str">
        <x:v>Transatlantique</x:v>
      </x:c>
      <x:c r="K125" s="10" t="str">
        <x:v>Le Havre</x:v>
      </x:c>
      <x:c r="L125" s="10" t="str">
        <x:v>C</x:v>
      </x:c>
      <x:c r="M125" s="10" t="str">
        <x:v>https://www.marine-marchande.net/Jourlejour4/AujourleJour-523.html</x:v>
      </x:c>
      <x:c r="N125" s="10" t="str">
        <x:v>Départ du Havre vers New York documenté.</x:v>
      </x:c>
    </x:row>
    <x:row r="126">
      <x:c r="A126" s="10" t="str">
        <x:v>MSC (Mediterranean Shipping Company)</x:v>
      </x:c>
      <x:c r="B126" s="10" t="str">
        <x:v>Référentiel V4</x:v>
      </x:c>
      <x:c r="C126" s="10" t="str">
        <x:v>EU-A</x:v>
      </x:c>
      <x:c r="D126" s="10" t="str">
        <x:v>MSC</x:v>
      </x:c>
      <x:c r="E126" s="10" t="str">
        <x:v>MSC</x:v>
      </x:c>
      <x:c r="F126" s="10" t="str">
        <x:v>MSC KATYAYNI VI</x:v>
      </x:c>
      <x:c r="G126" s="10" t="str"/>
      <x:c r="H126" s="10" t="str">
        <x:v>2026-03-21</x:v>
      </x:c>
      <x:c r="I126" s="10" t="n">
        <x:v>2026</x:v>
      </x:c>
      <x:c r="J126" s="10" t="str">
        <x:v>Service MSC</x:v>
      </x:c>
      <x:c r="K126" s="10" t="str">
        <x:v>Port 2000</x:v>
      </x:c>
      <x:c r="L126" s="10" t="str">
        <x:v>C</x:v>
      </x:c>
      <x:c r="M126" s="10" t="str">
        <x:v>https://www.marine-marchande.net/Jourlejour4/AujourleJour-559.html</x:v>
      </x:c>
      <x:c r="N126" s="10" t="str">
        <x:v>Observation portuaire datée.</x:v>
      </x:c>
    </x:row>
    <x:row r="127">
      <x:c r="A127" s="10" t="str">
        <x:v>MSC (Mediterranean Shipping Company)</x:v>
      </x:c>
      <x:c r="B127" s="10" t="str">
        <x:v>Référentiel V4</x:v>
      </x:c>
      <x:c r="C127" s="10" t="str">
        <x:v>EU-A</x:v>
      </x:c>
      <x:c r="D127" s="10" t="str">
        <x:v>MSC</x:v>
      </x:c>
      <x:c r="E127" s="10" t="str">
        <x:v>MSC</x:v>
      </x:c>
      <x:c r="F127" s="10" t="str">
        <x:v>MSC KAYLEY</x:v>
      </x:c>
      <x:c r="G127" s="10" t="str"/>
      <x:c r="H127" s="10" t="str">
        <x:v>2023-06-14</x:v>
      </x:c>
      <x:c r="I127" s="10" t="n">
        <x:v>2023</x:v>
      </x:c>
      <x:c r="J127" s="10" t="str">
        <x:v>Griffin / 2M</x:v>
      </x:c>
      <x:c r="K127" s="10" t="str">
        <x:v>Terminal de Normandie</x:v>
      </x:c>
      <x:c r="L127" s="10" t="str">
        <x:v>A1</x:v>
      </x:c>
      <x:c r="M127" s="10" t="str">
        <x:v>https://www.haropaport.com/fr/actualites/le-havre-double-escale-inaugurale-avec-les-derniers-nes-de-larmement-msc</x:v>
      </x:c>
      <x:c r="N127" s="10" t="str">
        <x:v>Escale inaugurale HAROPA.</x:v>
      </x:c>
    </x:row>
    <x:row r="128">
      <x:c r="A128" s="10" t="str">
        <x:v>MSC (Mediterranean Shipping Company)</x:v>
      </x:c>
      <x:c r="B128" s="10" t="str">
        <x:v>Référentiel V4</x:v>
      </x:c>
      <x:c r="C128" s="10" t="str">
        <x:v>EU-A</x:v>
      </x:c>
      <x:c r="D128" s="10" t="str">
        <x:v>MSC</x:v>
      </x:c>
      <x:c r="E128" s="10" t="str">
        <x:v>MSC</x:v>
      </x:c>
      <x:c r="F128" s="10" t="str">
        <x:v>MSC LORETO</x:v>
      </x:c>
      <x:c r="G128" s="10" t="str"/>
      <x:c r="H128" s="10" t="str">
        <x:v>2023-07</x:v>
      </x:c>
      <x:c r="I128" s="10" t="n">
        <x:v>2023</x:v>
      </x:c>
      <x:c r="J128" s="10" t="str">
        <x:v>2M / service MSC-Maersk</x:v>
      </x:c>
      <x:c r="K128" s="10" t="str">
        <x:v>Le Havre</x:v>
      </x:c>
      <x:c r="L128" s="10" t="str">
        <x:v>B2</x:v>
      </x:c>
      <x:c r="M128" s="10" t="str">
        <x:v>https://www.maersk.com/news/articles/2023/07/19/operational-update-north-europe</x:v>
      </x:c>
      <x:c r="N128" s="10" t="str">
        <x:v>Escale/induction Le Havre annoncée dans un advisory opérateur.</x:v>
      </x:c>
    </x:row>
    <x:row r="129">
      <x:c r="A129" s="10" t="str">
        <x:v>MSC (Mediterranean Shipping Company)</x:v>
      </x:c>
      <x:c r="B129" s="10" t="str">
        <x:v>Référentiel V4</x:v>
      </x:c>
      <x:c r="C129" s="10" t="str">
        <x:v>EU-A</x:v>
      </x:c>
      <x:c r="D129" s="10" t="str">
        <x:v>MSC</x:v>
      </x:c>
      <x:c r="E129" s="10" t="str">
        <x:v>MSC</x:v>
      </x:c>
      <x:c r="F129" s="10" t="str">
        <x:v>MSC MAEVA</x:v>
      </x:c>
      <x:c r="G129" s="10" t="str"/>
      <x:c r="H129" s="10" t="str">
        <x:v>2023-08</x:v>
      </x:c>
      <x:c r="I129" s="10" t="n">
        <x:v>2023</x:v>
      </x:c>
      <x:c r="J129" s="10" t="str">
        <x:v>2M / service MSC-Maersk</x:v>
      </x:c>
      <x:c r="K129" s="10" t="str">
        <x:v>Le Havre</x:v>
      </x:c>
      <x:c r="L129" s="10" t="str">
        <x:v>B2</x:v>
      </x:c>
      <x:c r="M129" s="10" t="str">
        <x:v>https://www.maersk.com/news/articles/2023/08/04/operational-update-north-europe</x:v>
      </x:c>
      <x:c r="N129" s="10" t="str">
        <x:v>Chargement Le Havre documenté dans un advisory opérateur.</x:v>
      </x:c>
    </x:row>
    <x:row r="130">
      <x:c r="A130" s="10" t="str">
        <x:v>MSC (Mediterranean Shipping Company)</x:v>
      </x:c>
      <x:c r="B130" s="10" t="str">
        <x:v>Référentiel V4</x:v>
      </x:c>
      <x:c r="C130" s="10" t="str">
        <x:v>EU-A</x:v>
      </x:c>
      <x:c r="D130" s="10" t="str">
        <x:v>MSC</x:v>
      </x:c>
      <x:c r="E130" s="10" t="str">
        <x:v>MSC</x:v>
      </x:c>
      <x:c r="F130" s="10" t="str">
        <x:v>MSC MANDY III</x:v>
      </x:c>
      <x:c r="G130" s="10" t="str"/>
      <x:c r="H130" s="10" t="str">
        <x:v>2026-03-03</x:v>
      </x:c>
      <x:c r="I130" s="10" t="n">
        <x:v>2026</x:v>
      </x:c>
      <x:c r="J130" s="10" t="str">
        <x:v>Service MSC</x:v>
      </x:c>
      <x:c r="K130" s="10" t="str">
        <x:v>Le Havre</x:v>
      </x:c>
      <x:c r="L130" s="10" t="str">
        <x:v>C</x:v>
      </x:c>
      <x:c r="M130" s="10" t="str">
        <x:v>https://www.marine-marchande.net/Jourlejour4/AujourleJour-558.html</x:v>
      </x:c>
      <x:c r="N130" s="10" t="str">
        <x:v>Observation portuaire datée.</x:v>
      </x:c>
    </x:row>
    <x:row r="131">
      <x:c r="A131" s="10" t="str">
        <x:v>MSC (Mediterranean Shipping Company)</x:v>
      </x:c>
      <x:c r="B131" s="10" t="str">
        <x:v>Référentiel V4</x:v>
      </x:c>
      <x:c r="C131" s="10" t="str">
        <x:v>EU-A</x:v>
      </x:c>
      <x:c r="D131" s="10" t="str">
        <x:v>MSC</x:v>
      </x:c>
      <x:c r="E131" s="10" t="str">
        <x:v>MSC</x:v>
      </x:c>
      <x:c r="F131" s="10" t="str">
        <x:v>MSC MARIELLA</x:v>
      </x:c>
      <x:c r="G131" s="10" t="str"/>
      <x:c r="H131" s="10" t="str">
        <x:v>2025-03-02</x:v>
      </x:c>
      <x:c r="I131" s="10" t="n">
        <x:v>2025</x:v>
      </x:c>
      <x:c r="J131" s="10" t="str">
        <x:v>Service MSC</x:v>
      </x:c>
      <x:c r="K131" s="10" t="str">
        <x:v>Port 2000</x:v>
      </x:c>
      <x:c r="L131" s="10" t="str">
        <x:v>C</x:v>
      </x:c>
      <x:c r="M131" s="10" t="str">
        <x:v>https://www.marine-marchande.net/Jourlejour4/AujourleJour-547.html</x:v>
      </x:c>
      <x:c r="N131" s="10" t="str">
        <x:v>Observation portuaire datée.</x:v>
      </x:c>
    </x:row>
    <x:row r="132">
      <x:c r="A132" s="10" t="str">
        <x:v>MSC (Mediterranean Shipping Company)</x:v>
      </x:c>
      <x:c r="B132" s="10" t="str">
        <x:v>Référentiel V4</x:v>
      </x:c>
      <x:c r="C132" s="10" t="str">
        <x:v>EU-A</x:v>
      </x:c>
      <x:c r="D132" s="10" t="str">
        <x:v>MSC</x:v>
      </x:c>
      <x:c r="E132" s="10" t="str">
        <x:v>MSC</x:v>
      </x:c>
      <x:c r="F132" s="10" t="str">
        <x:v>MSC MARINA</x:v>
      </x:c>
      <x:c r="G132" s="10" t="str">
        <x:v>9275971</x:v>
      </x:c>
      <x:c r="H132" s="10" t="str">
        <x:v>2026-09-18</x:v>
      </x:c>
      <x:c r="I132" s="10" t="n">
        <x:v>2026</x:v>
      </x:c>
      <x:c r="J132" s="10" t="str">
        <x:v>Service MSC</x:v>
      </x:c>
      <x:c r="K132" s="10" t="str">
        <x:v>TNMSC</x:v>
      </x:c>
      <x:c r="L132" s="10" t="str">
        <x:v>A1</x:v>
      </x:c>
      <x:c r="M132" s="10" t="str">
        <x:v>https://www.havre-port.com/fr/liste/129/departs-au-grand-port-maritime-du-havre</x:v>
      </x:c>
      <x:c r="N132" s="10" t="str">
        <x:v>Mouvement officiel S-WiNG/HAROPA au 18/09/2026.</x:v>
      </x:c>
    </x:row>
    <x:row r="133">
      <x:c r="A133" s="10" t="str">
        <x:v>MSC (Mediterranean Shipping Company)</x:v>
      </x:c>
      <x:c r="B133" s="10" t="str">
        <x:v>Référentiel V4</x:v>
      </x:c>
      <x:c r="C133" s="10" t="str">
        <x:v>EU-A</x:v>
      </x:c>
      <x:c r="D133" s="10" t="str">
        <x:v>MSC</x:v>
      </x:c>
      <x:c r="E133" s="10" t="str">
        <x:v>MSC</x:v>
      </x:c>
      <x:c r="F133" s="10" t="str">
        <x:v>MSC MARITINA V</x:v>
      </x:c>
      <x:c r="G133" s="10" t="str">
        <x:v>9294408</x:v>
      </x:c>
      <x:c r="H133" s="10" t="str">
        <x:v>2024-03-29</x:v>
      </x:c>
      <x:c r="I133" s="10" t="n">
        <x:v>2024</x:v>
      </x:c>
      <x:c r="J133" s="10" t="str">
        <x:v>Service MSC</x:v>
      </x:c>
      <x:c r="K133" s="10" t="str">
        <x:v>Le Havre</x:v>
      </x:c>
      <x:c r="L133" s="10" t="str">
        <x:v>C</x:v>
      </x:c>
      <x:c r="M133" s="10" t="str">
        <x:v>https://www.marine-marchande.net/Jourlejour4/AujourleJour-534.html</x:v>
      </x:c>
      <x:c r="N133" s="10" t="str">
        <x:v>Mouvement portuaire daté.</x:v>
      </x:c>
    </x:row>
    <x:row r="134">
      <x:c r="A134" s="10" t="str">
        <x:v>MSC (Mediterranean Shipping Company)</x:v>
      </x:c>
      <x:c r="B134" s="10" t="str">
        <x:v>Référentiel V4</x:v>
      </x:c>
      <x:c r="C134" s="10" t="str">
        <x:v>EU-A</x:v>
      </x:c>
      <x:c r="D134" s="10" t="str">
        <x:v>MSC</x:v>
      </x:c>
      <x:c r="E134" s="10" t="str">
        <x:v>MSC</x:v>
      </x:c>
      <x:c r="F134" s="10" t="str">
        <x:v>MSC MIA SUMMER II</x:v>
      </x:c>
      <x:c r="G134" s="10" t="str"/>
      <x:c r="H134" s="10" t="str">
        <x:v>2025-08-31</x:v>
      </x:c>
      <x:c r="I134" s="10" t="n">
        <x:v>2025</x:v>
      </x:c>
      <x:c r="J134" s="10" t="str">
        <x:v>Service MSC</x:v>
      </x:c>
      <x:c r="K134" s="10" t="str">
        <x:v>Port 2000</x:v>
      </x:c>
      <x:c r="L134" s="10" t="str">
        <x:v>C</x:v>
      </x:c>
      <x:c r="M134" s="10" t="str">
        <x:v>https://www.marine-marchande.net/Jourlejour4/AujourleJour-552.html</x:v>
      </x:c>
      <x:c r="N134" s="10" t="str">
        <x:v>Observation portuaire datée.</x:v>
      </x:c>
    </x:row>
    <x:row r="135">
      <x:c r="A135" s="10" t="str">
        <x:v>MSC (Mediterranean Shipping Company)</x:v>
      </x:c>
      <x:c r="B135" s="10" t="str">
        <x:v>Référentiel V4</x:v>
      </x:c>
      <x:c r="C135" s="10" t="str">
        <x:v>EU-A</x:v>
      </x:c>
      <x:c r="D135" s="10" t="str">
        <x:v>MSC</x:v>
      </x:c>
      <x:c r="E135" s="10" t="str">
        <x:v>MSC</x:v>
      </x:c>
      <x:c r="F135" s="10" t="str">
        <x:v>MSC MICHELA</x:v>
      </x:c>
      <x:c r="G135" s="10" t="str"/>
      <x:c r="H135" s="10" t="str">
        <x:v>2023-01-31</x:v>
      </x:c>
      <x:c r="I135" s="10" t="n">
        <x:v>2023</x:v>
      </x:c>
      <x:c r="J135" s="10" t="str">
        <x:v>Middle East – Europe</x:v>
      </x:c>
      <x:c r="K135" s="10" t="str">
        <x:v>Le Havre</x:v>
      </x:c>
      <x:c r="L135" s="10" t="str">
        <x:v>C</x:v>
      </x:c>
      <x:c r="M135" s="10" t="str">
        <x:v>https://www.marine-marchande.net/Jourlejour4/AujourleJour-521.html</x:v>
      </x:c>
      <x:c r="N135" s="10" t="str">
        <x:v>Observation portuaire datée.</x:v>
      </x:c>
    </x:row>
    <x:row r="136">
      <x:c r="A136" s="10" t="str">
        <x:v>MSC (Mediterranean Shipping Company)</x:v>
      </x:c>
      <x:c r="B136" s="10" t="str">
        <x:v>Référentiel V4</x:v>
      </x:c>
      <x:c r="C136" s="10" t="str">
        <x:v>EU-A</x:v>
      </x:c>
      <x:c r="D136" s="10" t="str">
        <x:v>MSC</x:v>
      </x:c>
      <x:c r="E136" s="10" t="str">
        <x:v>MSC</x:v>
      </x:c>
      <x:c r="F136" s="10" t="str">
        <x:v>MSC MIRJA</x:v>
      </x:c>
      <x:c r="G136" s="10" t="str"/>
      <x:c r="H136" s="10" t="str">
        <x:v>2026-02-24</x:v>
      </x:c>
      <x:c r="I136" s="10" t="n">
        <x:v>2026</x:v>
      </x:c>
      <x:c r="J136" s="10" t="str">
        <x:v>Service MSC</x:v>
      </x:c>
      <x:c r="K136" s="10" t="str">
        <x:v>Le Havre</x:v>
      </x:c>
      <x:c r="L136" s="10" t="str">
        <x:v>C</x:v>
      </x:c>
      <x:c r="M136" s="10" t="str">
        <x:v>https://www.marine-marchande.net/Jourlejour4/AujourleJour-557.html</x:v>
      </x:c>
      <x:c r="N136" s="10" t="str">
        <x:v>Observation portuaire datée ; le navire était déjà annoncé au Havre en 2023.</x:v>
      </x:c>
    </x:row>
    <x:row r="137">
      <x:c r="A137" s="10" t="str">
        <x:v>MSC (Mediterranean Shipping Company)</x:v>
      </x:c>
      <x:c r="B137" s="10" t="str">
        <x:v>Référentiel V4</x:v>
      </x:c>
      <x:c r="C137" s="10" t="str">
        <x:v>EU-A</x:v>
      </x:c>
      <x:c r="D137" s="10" t="str">
        <x:v>MSC</x:v>
      </x:c>
      <x:c r="E137" s="10" t="str">
        <x:v>MSC</x:v>
      </x:c>
      <x:c r="F137" s="10" t="str">
        <x:v>MSC MOMBASA</x:v>
      </x:c>
      <x:c r="G137" s="10" t="str">
        <x:v>9967275</x:v>
      </x:c>
      <x:c r="H137" s="10" t="str">
        <x:v>2025-07-21</x:v>
      </x:c>
      <x:c r="I137" s="10" t="n">
        <x:v>2025</x:v>
      </x:c>
      <x:c r="J137" s="10" t="str">
        <x:v>Service MSC</x:v>
      </x:c>
      <x:c r="K137" s="10" t="str">
        <x:v>Port 2000</x:v>
      </x:c>
      <x:c r="L137" s="10" t="str">
        <x:v>C</x:v>
      </x:c>
      <x:c r="M137" s="10" t="str">
        <x:v>https://www.marine-marchande.net/Jourlejour4/AujourleJour-551.html</x:v>
      </x:c>
      <x:c r="N137" s="10" t="str">
        <x:v>Arrivée d'Anvers documentée.</x:v>
      </x:c>
    </x:row>
    <x:row r="138">
      <x:c r="A138" s="10" t="str">
        <x:v>MSC (Mediterranean Shipping Company)</x:v>
      </x:c>
      <x:c r="B138" s="10" t="str">
        <x:v>Référentiel V4</x:v>
      </x:c>
      <x:c r="C138" s="10" t="str">
        <x:v>EU-A</x:v>
      </x:c>
      <x:c r="D138" s="10" t="str">
        <x:v>MSC</x:v>
      </x:c>
      <x:c r="E138" s="10" t="str">
        <x:v>MSC</x:v>
      </x:c>
      <x:c r="F138" s="10" t="str">
        <x:v>MSC NICOLA MASTRO</x:v>
      </x:c>
      <x:c r="G138" s="10" t="str">
        <x:v>9930064</x:v>
      </x:c>
      <x:c r="H138" s="10" t="str">
        <x:v>2024-07</x:v>
      </x:c>
      <x:c r="I138" s="10" t="n">
        <x:v>2024</x:v>
      </x:c>
      <x:c r="J138" s="10" t="str">
        <x:v>Service MSC</x:v>
      </x:c>
      <x:c r="K138" s="10" t="str">
        <x:v>Port 2000</x:v>
      </x:c>
      <x:c r="L138" s="10" t="str">
        <x:v>C</x:v>
      </x:c>
      <x:c r="M138" s="10" t="str">
        <x:v>https://www.marine-marchande.net/Jourlejour4/AujourleJour-539.html</x:v>
      </x:c>
      <x:c r="N138" s="10" t="str">
        <x:v>Présence havraise documentée.</x:v>
      </x:c>
    </x:row>
    <x:row r="139">
      <x:c r="A139" s="10" t="str">
        <x:v>MSC (Mediterranean Shipping Company)</x:v>
      </x:c>
      <x:c r="B139" s="10" t="str">
        <x:v>Référentiel V4</x:v>
      </x:c>
      <x:c r="C139" s="10" t="str">
        <x:v>EU-A</x:v>
      </x:c>
      <x:c r="D139" s="10" t="str">
        <x:v>MSC</x:v>
      </x:c>
      <x:c r="E139" s="10" t="str">
        <x:v>MSC</x:v>
      </x:c>
      <x:c r="F139" s="10" t="str">
        <x:v>MSC NIKOLETA II</x:v>
      </x:c>
      <x:c r="G139" s="10" t="str"/>
      <x:c r="H139" s="10" t="str">
        <x:v>2024-07</x:v>
      </x:c>
      <x:c r="I139" s="10" t="n">
        <x:v>2024</x:v>
      </x:c>
      <x:c r="J139" s="10" t="str">
        <x:v>Feeder MSC</x:v>
      </x:c>
      <x:c r="K139" s="10" t="str">
        <x:v>Le Havre</x:v>
      </x:c>
      <x:c r="L139" s="10" t="str">
        <x:v>C</x:v>
      </x:c>
      <x:c r="M139" s="10" t="str">
        <x:v>https://www.marine-marchande.net/Jourlejour4/AujourleJour-539.html</x:v>
      </x:c>
      <x:c r="N139" s="10" t="str">
        <x:v>Présence havraise documentée.</x:v>
      </x:c>
    </x:row>
    <x:row r="140">
      <x:c r="A140" s="10" t="str">
        <x:v>MSC (Mediterranean Shipping Company)</x:v>
      </x:c>
      <x:c r="B140" s="10" t="str">
        <x:v>Référentiel V4</x:v>
      </x:c>
      <x:c r="C140" s="10" t="str">
        <x:v>EU-A</x:v>
      </x:c>
      <x:c r="D140" s="10" t="str">
        <x:v>MSC</x:v>
      </x:c>
      <x:c r="E140" s="10" t="str">
        <x:v>MSC</x:v>
      </x:c>
      <x:c r="F140" s="10" t="str">
        <x:v>MSC POH LIN</x:v>
      </x:c>
      <x:c r="G140" s="10" t="str"/>
      <x:c r="H140" s="10" t="str">
        <x:v>2024-03</x:v>
      </x:c>
      <x:c r="I140" s="10" t="n">
        <x:v>2024</x:v>
      </x:c>
      <x:c r="J140" s="10" t="str">
        <x:v>ZNT / service partagé</x:v>
      </x:c>
      <x:c r="K140" s="10" t="str">
        <x:v>Le Havre</x:v>
      </x:c>
      <x:c r="L140" s="10" t="str">
        <x:v>B2</x:v>
      </x:c>
      <x:c r="M140" s="10" t="str">
        <x:v>https://www.zim.com/es/news/customer-advisory/zim-announces-changes-to-its-north-europe-tuerkiye-service-znt-line</x:v>
      </x:c>
      <x:c r="N140" s="10" t="str">
        <x:v>ZIM documente le dernier inbound Le Havre dans la transition de service.</x:v>
      </x:c>
    </x:row>
    <x:row r="141">
      <x:c r="A141" s="10" t="str">
        <x:v>MSC (Mediterranean Shipping Company)</x:v>
      </x:c>
      <x:c r="B141" s="10" t="str">
        <x:v>Référentiel V4</x:v>
      </x:c>
      <x:c r="C141" s="10" t="str">
        <x:v>EU-A</x:v>
      </x:c>
      <x:c r="D141" s="10" t="str">
        <x:v>MSC</x:v>
      </x:c>
      <x:c r="E141" s="10" t="str">
        <x:v>MSC</x:v>
      </x:c>
      <x:c r="F141" s="10" t="str">
        <x:v>MSC RAYSHMI</x:v>
      </x:c>
      <x:c r="G141" s="10" t="str">
        <x:v>9785457</x:v>
      </x:c>
      <x:c r="H141" s="10" t="str">
        <x:v>2025-08-17</x:v>
      </x:c>
      <x:c r="I141" s="10" t="n">
        <x:v>2025</x:v>
      </x:c>
      <x:c r="J141" s="10" t="str">
        <x:v>Service MSC</x:v>
      </x:c>
      <x:c r="K141" s="10" t="str">
        <x:v>Le Havre</x:v>
      </x:c>
      <x:c r="L141" s="10" t="str">
        <x:v>C</x:v>
      </x:c>
      <x:c r="M141" s="10" t="str">
        <x:v>https://www.marine-marchande.net/Jourlejour4/AujourleJour-551.html</x:v>
      </x:c>
      <x:c r="N141" s="10" t="str">
        <x:v>Présence havraise documentée.</x:v>
      </x:c>
    </x:row>
    <x:row r="142">
      <x:c r="A142" s="10" t="str">
        <x:v>MSC (Mediterranean Shipping Company)</x:v>
      </x:c>
      <x:c r="B142" s="10" t="str">
        <x:v>Référentiel V4</x:v>
      </x:c>
      <x:c r="C142" s="10" t="str">
        <x:v>EU-A</x:v>
      </x:c>
      <x:c r="D142" s="10" t="str">
        <x:v>MSC</x:v>
      </x:c>
      <x:c r="E142" s="10" t="str">
        <x:v>MSC</x:v>
      </x:c>
      <x:c r="F142" s="10" t="str">
        <x:v>MSC ROMANE</x:v>
      </x:c>
      <x:c r="G142" s="10" t="str">
        <x:v>9745653</x:v>
      </x:c>
      <x:c r="H142" s="10" t="str">
        <x:v>2024-07-04</x:v>
      </x:c>
      <x:c r="I142" s="10" t="n">
        <x:v>2024</x:v>
      </x:c>
      <x:c r="J142" s="10" t="str">
        <x:v>Service MSC</x:v>
      </x:c>
      <x:c r="K142" s="10" t="str">
        <x:v>Le Havre</x:v>
      </x:c>
      <x:c r="L142" s="10" t="str">
        <x:v>C</x:v>
      </x:c>
      <x:c r="M142" s="10" t="str">
        <x:v>https://www.marine-marchande.net/Jourlejour4/AujourleJour-539.html</x:v>
      </x:c>
      <x:c r="N142" s="10" t="str">
        <x:v>Arrivée d'Anvers documentée.</x:v>
      </x:c>
    </x:row>
    <x:row r="143">
      <x:c r="A143" s="10" t="str">
        <x:v>MSC (Mediterranean Shipping Company)</x:v>
      </x:c>
      <x:c r="B143" s="10" t="str">
        <x:v>Référentiel V4</x:v>
      </x:c>
      <x:c r="C143" s="10" t="str">
        <x:v>EU-A</x:v>
      </x:c>
      <x:c r="D143" s="10" t="str">
        <x:v>MSC</x:v>
      </x:c>
      <x:c r="E143" s="10" t="str">
        <x:v>MSC</x:v>
      </x:c>
      <x:c r="F143" s="10" t="str">
        <x:v>MSC ROSA</x:v>
      </x:c>
      <x:c r="G143" s="10" t="str"/>
      <x:c r="H143" s="10" t="str">
        <x:v>2024-09-16</x:v>
      </x:c>
      <x:c r="I143" s="10" t="n">
        <x:v>2024</x:v>
      </x:c>
      <x:c r="J143" s="10" t="str">
        <x:v>Asie-Europe</x:v>
      </x:c>
      <x:c r="K143" s="10" t="str">
        <x:v>Le Havre</x:v>
      </x:c>
      <x:c r="L143" s="10" t="str">
        <x:v>C</x:v>
      </x:c>
      <x:c r="M143" s="10" t="str">
        <x:v>https://www.scribd.com/document/754985247/SCHEDULES-LE-HAVRE-HONG-KONG-AOUT-2024</x:v>
      </x:c>
      <x:c r="N143" s="10" t="str">
        <x:v>Schedule commercial Le Havre–Hong Kong.</x:v>
      </x:c>
    </x:row>
    <x:row r="144">
      <x:c r="A144" s="10" t="str">
        <x:v>MSC (Mediterranean Shipping Company)</x:v>
      </x:c>
      <x:c r="B144" s="10" t="str">
        <x:v>Référentiel V4</x:v>
      </x:c>
      <x:c r="C144" s="10" t="str">
        <x:v>EU-A</x:v>
      </x:c>
      <x:c r="D144" s="10" t="str">
        <x:v>MSC</x:v>
      </x:c>
      <x:c r="E144" s="10" t="str">
        <x:v>MSC</x:v>
      </x:c>
      <x:c r="F144" s="10" t="str">
        <x:v>MSC ROUEN</x:v>
      </x:c>
      <x:c r="G144" s="10" t="str"/>
      <x:c r="H144" s="10" t="str">
        <x:v>2026-03-21</x:v>
      </x:c>
      <x:c r="I144" s="10" t="n">
        <x:v>2026</x:v>
      </x:c>
      <x:c r="J144" s="10" t="str">
        <x:v>Service MSC</x:v>
      </x:c>
      <x:c r="K144" s="10" t="str">
        <x:v>Port 2000</x:v>
      </x:c>
      <x:c r="L144" s="10" t="str">
        <x:v>C</x:v>
      </x:c>
      <x:c r="M144" s="10" t="str">
        <x:v>https://www.marine-marchande.net/Jourlejour4/AujourleJour-559.html</x:v>
      </x:c>
      <x:c r="N144" s="10" t="str">
        <x:v>Observation portuaire datée.</x:v>
      </x:c>
    </x:row>
    <x:row r="145">
      <x:c r="A145" s="10" t="str">
        <x:v>MSC (Mediterranean Shipping Company)</x:v>
      </x:c>
      <x:c r="B145" s="10" t="str">
        <x:v>Référentiel V4</x:v>
      </x:c>
      <x:c r="C145" s="10" t="str">
        <x:v>EU-A</x:v>
      </x:c>
      <x:c r="D145" s="10" t="str">
        <x:v>MSC</x:v>
      </x:c>
      <x:c r="E145" s="10" t="str">
        <x:v>MSC</x:v>
      </x:c>
      <x:c r="F145" s="10" t="str">
        <x:v>MSC SAN FRANCISCO</x:v>
      </x:c>
      <x:c r="G145" s="10" t="str">
        <x:v>9987328</x:v>
      </x:c>
      <x:c r="H145" s="10" t="str">
        <x:v>2026-04</x:v>
      </x:c>
      <x:c r="I145" s="10" t="n">
        <x:v>2026</x:v>
      </x:c>
      <x:c r="J145" s="10" t="str">
        <x:v>Service MSC</x:v>
      </x:c>
      <x:c r="K145" s="10" t="str">
        <x:v>Le Havre</x:v>
      </x:c>
      <x:c r="L145" s="10" t="str">
        <x:v>C</x:v>
      </x:c>
      <x:c r="M145" s="10" t="str">
        <x:v>https://www.marine-marchande.net/Jourlejour4/AujourleJour-559.html</x:v>
      </x:c>
      <x:c r="N145" s="10" t="str">
        <x:v>Présence havraise documentée début avril 2026.</x:v>
      </x:c>
    </x:row>
    <x:row r="146">
      <x:c r="A146" s="10" t="str">
        <x:v>MSC (Mediterranean Shipping Company)</x:v>
      </x:c>
      <x:c r="B146" s="10" t="str">
        <x:v>Référentiel V4</x:v>
      </x:c>
      <x:c r="C146" s="10" t="str">
        <x:v>EU-A</x:v>
      </x:c>
      <x:c r="D146" s="10" t="str">
        <x:v>MSC</x:v>
      </x:c>
      <x:c r="E146" s="10" t="str">
        <x:v>MSC</x:v>
      </x:c>
      <x:c r="F146" s="10" t="str">
        <x:v>MSC SARY</x:v>
      </x:c>
      <x:c r="G146" s="10" t="str"/>
      <x:c r="H146" s="10" t="str">
        <x:v>2026-05-08</x:v>
      </x:c>
      <x:c r="I146" s="10" t="n">
        <x:v>2026</x:v>
      </x:c>
      <x:c r="J146" s="10" t="str">
        <x:v>Service MSC</x:v>
      </x:c>
      <x:c r="K146" s="10" t="str">
        <x:v>Port 2000</x:v>
      </x:c>
      <x:c r="L146" s="10" t="str">
        <x:v>C</x:v>
      </x:c>
      <x:c r="M146" s="10" t="str">
        <x:v>https://www.marine-marchande.net/Jourlejour4/AujourleJour-561.html</x:v>
      </x:c>
      <x:c r="N146" s="10" t="str">
        <x:v>Observation portuaire datée.</x:v>
      </x:c>
    </x:row>
    <x:row r="147">
      <x:c r="A147" s="10" t="str">
        <x:v>MSC (Mediterranean Shipping Company)</x:v>
      </x:c>
      <x:c r="B147" s="10" t="str">
        <x:v>Référentiel V4</x:v>
      </x:c>
      <x:c r="C147" s="10" t="str">
        <x:v>EU-A</x:v>
      </x:c>
      <x:c r="D147" s="10" t="str">
        <x:v>MSC</x:v>
      </x:c>
      <x:c r="E147" s="10" t="str">
        <x:v>MSC</x:v>
      </x:c>
      <x:c r="F147" s="10" t="str">
        <x:v>MSC SINES R</x:v>
      </x:c>
      <x:c r="G147" s="10" t="str">
        <x:v>9210098</x:v>
      </x:c>
      <x:c r="H147" s="10" t="str">
        <x:v>2023-05-18</x:v>
      </x:c>
      <x:c r="I147" s="10" t="n">
        <x:v>2023</x:v>
      </x:c>
      <x:c r="J147" s="10" t="str">
        <x:v>Service MSC</x:v>
      </x:c>
      <x:c r="K147" s="10" t="str">
        <x:v>Le Havre</x:v>
      </x:c>
      <x:c r="L147" s="10" t="str">
        <x:v>C</x:v>
      </x:c>
      <x:c r="M147" s="10" t="str">
        <x:v>https://www.marine-marchande.net/Jourlejour4/AujourleJour-524.html</x:v>
      </x:c>
      <x:c r="N147" s="10" t="str">
        <x:v>Départ du Havre vers Casablanca documenté.</x:v>
      </x:c>
    </x:row>
    <x:row r="148">
      <x:c r="A148" s="10" t="str">
        <x:v>MSC (Mediterranean Shipping Company)</x:v>
      </x:c>
      <x:c r="B148" s="10" t="str">
        <x:v>Référentiel V4</x:v>
      </x:c>
      <x:c r="C148" s="10" t="str">
        <x:v>EU-A</x:v>
      </x:c>
      <x:c r="D148" s="10" t="str">
        <x:v>MSC</x:v>
      </x:c>
      <x:c r="E148" s="10" t="str">
        <x:v>MSC</x:v>
      </x:c>
      <x:c r="F148" s="10" t="str">
        <x:v>MSC SOFIA CELESTE</x:v>
      </x:c>
      <x:c r="G148" s="10" t="str"/>
      <x:c r="H148" s="10" t="str">
        <x:v>2024-07-21</x:v>
      </x:c>
      <x:c r="I148" s="10" t="n">
        <x:v>2024</x:v>
      </x:c>
      <x:c r="J148" s="10" t="str">
        <x:v>Service MSC</x:v>
      </x:c>
      <x:c r="K148" s="10" t="str">
        <x:v>Le Havre</x:v>
      </x:c>
      <x:c r="L148" s="10" t="str">
        <x:v>C</x:v>
      </x:c>
      <x:c r="M148" s="10" t="str">
        <x:v>https://www.marine-marchande.net/Jourlejour4/AujourleJour-539.html</x:v>
      </x:c>
      <x:c r="N148" s="10" t="str">
        <x:v>Présence havraise documentée.</x:v>
      </x:c>
    </x:row>
    <x:row r="149">
      <x:c r="A149" s="10" t="str">
        <x:v>MSC (Mediterranean Shipping Company)</x:v>
      </x:c>
      <x:c r="B149" s="10" t="str">
        <x:v>Référentiel V4</x:v>
      </x:c>
      <x:c r="C149" s="10" t="str">
        <x:v>EU-A</x:v>
      </x:c>
      <x:c r="D149" s="10" t="str">
        <x:v>MSC</x:v>
      </x:c>
      <x:c r="E149" s="10" t="str">
        <x:v>MSC</x:v>
      </x:c>
      <x:c r="F149" s="10" t="str">
        <x:v>MSC SVEVA</x:v>
      </x:c>
      <x:c r="G149" s="10" t="str"/>
      <x:c r="H149" s="10" t="str">
        <x:v>2024-05-15</x:v>
      </x:c>
      <x:c r="I149" s="10" t="n">
        <x:v>2024</x:v>
      </x:c>
      <x:c r="J149" s="10" t="str">
        <x:v>Service MSC</x:v>
      </x:c>
      <x:c r="K149" s="10" t="str">
        <x:v>Port 2000</x:v>
      </x:c>
      <x:c r="L149" s="10" t="str">
        <x:v>C</x:v>
      </x:c>
      <x:c r="M149" s="10" t="str">
        <x:v>https://www.marine-marchande.net/Jourlejour4/AujourleJour-536.html</x:v>
      </x:c>
      <x:c r="N149" s="10" t="str">
        <x:v>Arrivée d'Anvers et dernière escale européenne documentée.</x:v>
      </x:c>
    </x:row>
    <x:row r="150">
      <x:c r="A150" s="10" t="str">
        <x:v>MSC (Mediterranean Shipping Company)</x:v>
      </x:c>
      <x:c r="B150" s="10" t="str">
        <x:v>Référentiel V4</x:v>
      </x:c>
      <x:c r="C150" s="10" t="str">
        <x:v>EU-A</x:v>
      </x:c>
      <x:c r="D150" s="10" t="str">
        <x:v>MSC</x:v>
      </x:c>
      <x:c r="E150" s="10" t="str">
        <x:v>MSC</x:v>
      </x:c>
      <x:c r="F150" s="10" t="str">
        <x:v>MSC TAMARA</x:v>
      </x:c>
      <x:c r="G150" s="10" t="str">
        <x:v>9351579</x:v>
      </x:c>
      <x:c r="H150" s="10" t="str">
        <x:v>2024-03-01</x:v>
      </x:c>
      <x:c r="I150" s="10" t="n">
        <x:v>2024</x:v>
      </x:c>
      <x:c r="J150" s="10" t="str">
        <x:v>Service MSC</x:v>
      </x:c>
      <x:c r="K150" s="10" t="str">
        <x:v>Port 2000</x:v>
      </x:c>
      <x:c r="L150" s="10" t="str">
        <x:v>C</x:v>
      </x:c>
      <x:c r="M150" s="10" t="str">
        <x:v>https://www.marine-marchande.net/Jourlejour4/AujourleJour-534.html</x:v>
      </x:c>
      <x:c r="N150" s="10" t="str">
        <x:v>Arrivée de Bristol documentée.</x:v>
      </x:c>
    </x:row>
    <x:row r="151">
      <x:c r="A151" s="10" t="str">
        <x:v>MSC (Mediterranean Shipping Company)</x:v>
      </x:c>
      <x:c r="B151" s="10" t="str">
        <x:v>Référentiel V4</x:v>
      </x:c>
      <x:c r="C151" s="10" t="str">
        <x:v>EU-A</x:v>
      </x:c>
      <x:c r="D151" s="10" t="str">
        <x:v>MSC</x:v>
      </x:c>
      <x:c r="E151" s="10" t="str">
        <x:v>MSC</x:v>
      </x:c>
      <x:c r="F151" s="10" t="str">
        <x:v>MSC VANDYA</x:v>
      </x:c>
      <x:c r="G151" s="10" t="str"/>
      <x:c r="H151" s="10" t="str">
        <x:v>2024-09-30</x:v>
      </x:c>
      <x:c r="I151" s="10" t="n">
        <x:v>2024</x:v>
      </x:c>
      <x:c r="J151" s="10" t="str">
        <x:v>Asie-Europe</x:v>
      </x:c>
      <x:c r="K151" s="10" t="str">
        <x:v>Le Havre</x:v>
      </x:c>
      <x:c r="L151" s="10" t="str">
        <x:v>C</x:v>
      </x:c>
      <x:c r="M151" s="10" t="str">
        <x:v>https://www.scribd.com/document/754985247/SCHEDULES-LE-HAVRE-HONG-KONG-AOUT-2024</x:v>
      </x:c>
      <x:c r="N151" s="10" t="str">
        <x:v>Schedule commercial Le Havre–Hong Kong.</x:v>
      </x:c>
    </x:row>
    <x:row r="152">
      <x:c r="A152" s="10" t="str">
        <x:v>MSC (Mediterranean Shipping Company)</x:v>
      </x:c>
      <x:c r="B152" s="10" t="str">
        <x:v>Référentiel V4</x:v>
      </x:c>
      <x:c r="C152" s="10" t="str">
        <x:v>EU-A</x:v>
      </x:c>
      <x:c r="D152" s="10" t="str">
        <x:v>MSC</x:v>
      </x:c>
      <x:c r="E152" s="10" t="str">
        <x:v>MSC</x:v>
      </x:c>
      <x:c r="F152" s="10" t="str">
        <x:v>MSC VERACRUZ</x:v>
      </x:c>
      <x:c r="G152" s="10" t="str"/>
      <x:c r="H152" s="10" t="str">
        <x:v>2023-01-30</x:v>
      </x:c>
      <x:c r="I152" s="10" t="n">
        <x:v>2023</x:v>
      </x:c>
      <x:c r="J152" s="10" t="str">
        <x:v>Middle East – Europe</x:v>
      </x:c>
      <x:c r="K152" s="10" t="str">
        <x:v>Le Havre</x:v>
      </x:c>
      <x:c r="L152" s="10" t="str">
        <x:v>C</x:v>
      </x:c>
      <x:c r="M152" s="10" t="str">
        <x:v>https://www.marine-marchande.net/Jourlejour4/AujourleJour-521.html</x:v>
      </x:c>
      <x:c r="N152" s="10" t="str">
        <x:v>Observation portuaire datée.</x:v>
      </x:c>
    </x:row>
    <x:row r="153">
      <x:c r="A153" s="10" t="str">
        <x:v>MSC (Mediterranean Shipping Company)</x:v>
      </x:c>
      <x:c r="B153" s="10" t="str">
        <x:v>Référentiel V4</x:v>
      </x:c>
      <x:c r="C153" s="10" t="str">
        <x:v>EU-A</x:v>
      </x:c>
      <x:c r="D153" s="10" t="str">
        <x:v>MSC</x:v>
      </x:c>
      <x:c r="E153" s="10" t="str">
        <x:v>MSC</x:v>
      </x:c>
      <x:c r="F153" s="10" t="str">
        <x:v>MSC VICTORINE</x:v>
      </x:c>
      <x:c r="G153" s="10" t="str"/>
      <x:c r="H153" s="10" t="str">
        <x:v>2024-09-15</x:v>
      </x:c>
      <x:c r="I153" s="10" t="n">
        <x:v>2024</x:v>
      </x:c>
      <x:c r="J153" s="10" t="str">
        <x:v>Asie-Europe</x:v>
      </x:c>
      <x:c r="K153" s="10" t="str">
        <x:v>Le Havre</x:v>
      </x:c>
      <x:c r="L153" s="10" t="str">
        <x:v>C</x:v>
      </x:c>
      <x:c r="M153" s="10" t="str">
        <x:v>https://www.scribd.com/document/754985247/SCHEDULES-LE-HAVRE-HONG-KONG-AOUT-2024</x:v>
      </x:c>
      <x:c r="N153" s="10" t="str">
        <x:v>Schedule commercial Le Havre–Hong Kong.</x:v>
      </x:c>
    </x:row>
    <x:row r="154">
      <x:c r="A154" s="10" t="str">
        <x:v>MSC (Mediterranean Shipping Company)</x:v>
      </x:c>
      <x:c r="B154" s="10" t="str">
        <x:v>Référentiel V4</x:v>
      </x:c>
      <x:c r="C154" s="10" t="str">
        <x:v>EU-A</x:v>
      </x:c>
      <x:c r="D154" s="10" t="str">
        <x:v>MSC</x:v>
      </x:c>
      <x:c r="E154" s="10" t="str">
        <x:v>MSC / partenaire ONE</x:v>
      </x:c>
      <x:c r="F154" s="10" t="str">
        <x:v>MSC CARMELA</x:v>
      </x:c>
      <x:c r="G154" s="10" t="str"/>
      <x:c r="H154" s="10" t="str">
        <x:v>2026-06-22</x:v>
      </x:c>
      <x:c r="I154" s="10" t="n">
        <x:v>2026</x:v>
      </x:c>
      <x:c r="J154" s="10" t="str">
        <x:v>FE5 / coopération</x:v>
      </x:c>
      <x:c r="K154" s="10" t="str">
        <x:v>Le Havre</x:v>
      </x:c>
      <x:c r="L154" s="10" t="str">
        <x:v>B1</x:v>
      </x:c>
      <x:c r="M154" s="10" t="str">
        <x:v>https://ch.one-line.com/sites/g/files/lnzjqr2191/files/schedules/2026-06/Europe%20Schedule.pdf</x:v>
      </x:c>
      <x:c r="N154" s="10" t="str">
        <x:v>Schedule officiel ONE.</x:v>
      </x:c>
    </x:row>
    <x:row r="155">
      <x:c r="A155" s="10" t="str">
        <x:v>MSC (Mediterranean Shipping Company)</x:v>
      </x:c>
      <x:c r="B155" s="10" t="str">
        <x:v>Référentiel V4</x:v>
      </x:c>
      <x:c r="C155" s="10" t="str">
        <x:v>EU-A</x:v>
      </x:c>
      <x:c r="D155" s="10" t="str">
        <x:v>MSC</x:v>
      </x:c>
      <x:c r="E155" s="10" t="str">
        <x:v>MSC / partenaire ONE</x:v>
      </x:c>
      <x:c r="F155" s="10" t="str">
        <x:v>MSC LINZIE</x:v>
      </x:c>
      <x:c r="G155" s="10" t="str"/>
      <x:c r="H155" s="10" t="str">
        <x:v>2026-07-13</x:v>
      </x:c>
      <x:c r="I155" s="10" t="n">
        <x:v>2026</x:v>
      </x:c>
      <x:c r="J155" s="10" t="str">
        <x:v>FE5 / coopération</x:v>
      </x:c>
      <x:c r="K155" s="10" t="str">
        <x:v>Le Havre</x:v>
      </x:c>
      <x:c r="L155" s="10" t="str">
        <x:v>B1</x:v>
      </x:c>
      <x:c r="M155" s="10" t="str">
        <x:v>https://ch.one-line.com/sites/g/files/lnzjqr2191/files/schedules/2026-06/Europe%20Schedule.pdf</x:v>
      </x:c>
      <x:c r="N155" s="10" t="str">
        <x:v>Schedule officiel ONE.</x:v>
      </x:c>
    </x:row>
    <x:row r="156">
      <x:c r="A156" s="10" t="str">
        <x:v>MSC (Mediterranean Shipping Company)</x:v>
      </x:c>
      <x:c r="B156" s="10" t="str">
        <x:v>Référentiel V4</x:v>
      </x:c>
      <x:c r="C156" s="10" t="str">
        <x:v>EU-A</x:v>
      </x:c>
      <x:c r="D156" s="10" t="str">
        <x:v>MSC</x:v>
      </x:c>
      <x:c r="E156" s="10" t="str">
        <x:v>MSC / partenaire ONE</x:v>
      </x:c>
      <x:c r="F156" s="10" t="str">
        <x:v>MSC MARIE</x:v>
      </x:c>
      <x:c r="G156" s="10" t="str"/>
      <x:c r="H156" s="10" t="str">
        <x:v>2026-06-29</x:v>
      </x:c>
      <x:c r="I156" s="10" t="n">
        <x:v>2026</x:v>
      </x:c>
      <x:c r="J156" s="10" t="str">
        <x:v>FE5 / coopération</x:v>
      </x:c>
      <x:c r="K156" s="10" t="str">
        <x:v>Le Havre</x:v>
      </x:c>
      <x:c r="L156" s="10" t="str">
        <x:v>B1</x:v>
      </x:c>
      <x:c r="M156" s="10" t="str">
        <x:v>https://ch.one-line.com/sites/g/files/lnzjqr2191/files/schedules/2026-06/Europe%20Schedule.pdf</x:v>
      </x:c>
      <x:c r="N156" s="10" t="str">
        <x:v>Schedule officiel ONE.</x:v>
      </x:c>
    </x:row>
    <x:row r="157">
      <x:c r="A157" s="10" t="str">
        <x:v>MSC (Mediterranean Shipping Company)</x:v>
      </x:c>
      <x:c r="B157" s="10" t="str">
        <x:v>Référentiel V4</x:v>
      </x:c>
      <x:c r="C157" s="10" t="str">
        <x:v>EU-A</x:v>
      </x:c>
      <x:c r="D157" s="10" t="str">
        <x:v>MSC</x:v>
      </x:c>
      <x:c r="E157" s="10" t="str">
        <x:v>MSC / partenaire ONE</x:v>
      </x:c>
      <x:c r="F157" s="10" t="str">
        <x:v>MSC OLIVER</x:v>
      </x:c>
      <x:c r="G157" s="10" t="str"/>
      <x:c r="H157" s="10" t="str">
        <x:v>2026-07-20</x:v>
      </x:c>
      <x:c r="I157" s="10" t="n">
        <x:v>2026</x:v>
      </x:c>
      <x:c r="J157" s="10" t="str">
        <x:v>FE5 / coopération</x:v>
      </x:c>
      <x:c r="K157" s="10" t="str">
        <x:v>Le Havre</x:v>
      </x:c>
      <x:c r="L157" s="10" t="str">
        <x:v>B1</x:v>
      </x:c>
      <x:c r="M157" s="10" t="str">
        <x:v>https://ch.one-line.com/sites/g/files/lnzjqr2191/files/schedules/2026-06/Europe%20Schedule.pdf</x:v>
      </x:c>
      <x:c r="N157" s="10" t="str">
        <x:v>Schedule officiel ONE.</x:v>
      </x:c>
    </x:row>
    <x:row r="158">
      <x:c r="A158" s="10" t="str">
        <x:v>MSC (Mediterranean Shipping Company)</x:v>
      </x:c>
      <x:c r="B158" s="10" t="str">
        <x:v>Référentiel V4</x:v>
      </x:c>
      <x:c r="C158" s="10" t="str">
        <x:v>EU-A</x:v>
      </x:c>
      <x:c r="D158" s="10" t="str">
        <x:v>MSC</x:v>
      </x:c>
      <x:c r="E158" s="10" t="str">
        <x:v>MSC / partenaire ONE</x:v>
      </x:c>
      <x:c r="F158" s="10" t="str">
        <x:v>MSC ZOE</x:v>
      </x:c>
      <x:c r="G158" s="10" t="str"/>
      <x:c r="H158" s="10" t="str">
        <x:v>2026-07-06</x:v>
      </x:c>
      <x:c r="I158" s="10" t="n">
        <x:v>2026</x:v>
      </x:c>
      <x:c r="J158" s="10" t="str">
        <x:v>FE5 / coopération</x:v>
      </x:c>
      <x:c r="K158" s="10" t="str">
        <x:v>Le Havre</x:v>
      </x:c>
      <x:c r="L158" s="10" t="str">
        <x:v>B1</x:v>
      </x:c>
      <x:c r="M158" s="10" t="str">
        <x:v>https://ch.one-line.com/sites/g/files/lnzjqr2191/files/schedules/2026-06/Europe%20Schedule.pdf</x:v>
      </x:c>
      <x:c r="N158" s="10" t="str">
        <x:v>Schedule officiel ONE.</x:v>
      </x:c>
    </x:row>
    <x:row r="159">
      <x:c r="A159" s="10" t="str">
        <x:v>MSC (Mediterranean Shipping Company)</x:v>
      </x:c>
      <x:c r="B159" s="10" t="str">
        <x:v>Référentiel V4</x:v>
      </x:c>
      <x:c r="C159" s="10" t="str">
        <x:v>EU-A</x:v>
      </x:c>
      <x:c r="D159" s="10" t="str">
        <x:v>MSC</x:v>
      </x:c>
      <x:c r="E159" s="10" t="str">
        <x:v>MSC / partenaire Premier</x:v>
      </x:c>
      <x:c r="F159" s="10" t="str">
        <x:v>MSC ADYA</x:v>
      </x:c>
      <x:c r="G159" s="10" t="str"/>
      <x:c r="H159" s="10" t="str">
        <x:v>2026-04-25</x:v>
      </x:c>
      <x:c r="I159" s="10" t="n">
        <x:v>2026</x:v>
      </x:c>
      <x:c r="J159" s="10" t="str">
        <x:v>FE6 / coopération</x:v>
      </x:c>
      <x:c r="K159" s="10" t="str">
        <x:v>Le Havre</x:v>
      </x:c>
      <x:c r="L159" s="10" t="str">
        <x:v>B1</x:v>
      </x:c>
      <x:c r="M159" s="10" t="str">
        <x:v>https://ch.one-line.com/sites/g/files/lnzjqr2191/files/schedules/2026-02/Europe%20Schedule.pdf</x:v>
      </x:c>
      <x:c r="N159" s="10" t="str">
        <x:v>ETA Le Havre publiée sur schedule officiel ONE.</x:v>
      </x:c>
    </x:row>
    <x:row r="160">
      <x:c r="A160" s="10" t="str">
        <x:v>MSC (Mediterranean Shipping Company)</x:v>
      </x:c>
      <x:c r="B160" s="10" t="str">
        <x:v>Référentiel V4</x:v>
      </x:c>
      <x:c r="C160" s="10" t="str">
        <x:v>EU-A</x:v>
      </x:c>
      <x:c r="D160" s="10" t="str">
        <x:v>MSC</x:v>
      </x:c>
      <x:c r="E160" s="10" t="str">
        <x:v>MSC / partenaire Premier</x:v>
      </x:c>
      <x:c r="F160" s="10" t="str">
        <x:v>MSC ANITA</x:v>
      </x:c>
      <x:c r="G160" s="10" t="str"/>
      <x:c r="H160" s="10" t="str">
        <x:v>2026-04-11</x:v>
      </x:c>
      <x:c r="I160" s="10" t="n">
        <x:v>2026</x:v>
      </x:c>
      <x:c r="J160" s="10" t="str">
        <x:v>FE6 / coopération</x:v>
      </x:c>
      <x:c r="K160" s="10" t="str">
        <x:v>Le Havre</x:v>
      </x:c>
      <x:c r="L160" s="10" t="str">
        <x:v>B1</x:v>
      </x:c>
      <x:c r="M160" s="10" t="str">
        <x:v>https://ch.one-line.com/sites/g/files/lnzjqr2191/files/schedules/2026-02/Nbo-Mar-Schedule-2026.pdf</x:v>
      </x:c>
      <x:c r="N160" s="10" t="str">
        <x:v>ETA Le Havre publiée sur schedule officiel ONE.</x:v>
      </x:c>
    </x:row>
    <x:row r="161">
      <x:c r="A161" s="10" t="str">
        <x:v>MSC (Mediterranean Shipping Company)</x:v>
      </x:c>
      <x:c r="B161" s="10" t="str">
        <x:v>Référentiel V4</x:v>
      </x:c>
      <x:c r="C161" s="10" t="str">
        <x:v>EU-A</x:v>
      </x:c>
      <x:c r="D161" s="10" t="str">
        <x:v>MSC</x:v>
      </x:c>
      <x:c r="E161" s="10" t="str">
        <x:v>MSC / partenaire Premier</x:v>
      </x:c>
      <x:c r="F161" s="10" t="str">
        <x:v>MSC ARIA</x:v>
      </x:c>
      <x:c r="G161" s="10" t="str"/>
      <x:c r="H161" s="10" t="str">
        <x:v>2026-04-18</x:v>
      </x:c>
      <x:c r="I161" s="10" t="n">
        <x:v>2026</x:v>
      </x:c>
      <x:c r="J161" s="10" t="str">
        <x:v>FE6 / coopération</x:v>
      </x:c>
      <x:c r="K161" s="10" t="str">
        <x:v>Le Havre</x:v>
      </x:c>
      <x:c r="L161" s="10" t="str">
        <x:v>B1</x:v>
      </x:c>
      <x:c r="M161" s="10" t="str">
        <x:v>https://ch.one-line.com/sites/g/files/lnzjqr2191/files/schedules/2026-02/Nbo-Mar-Schedule-2026.pdf</x:v>
      </x:c>
      <x:c r="N161" s="10" t="str">
        <x:v>ETA Le Havre publiée sur schedule officiel ONE.</x:v>
      </x:c>
    </x:row>
    <x:row r="162">
      <x:c r="A162" s="10" t="str">
        <x:v>MSC (Mediterranean Shipping Company)</x:v>
      </x:c>
      <x:c r="B162" s="10" t="str">
        <x:v>Référentiel V4</x:v>
      </x:c>
      <x:c r="C162" s="10" t="str">
        <x:v>EU-A</x:v>
      </x:c>
      <x:c r="D162" s="10" t="str">
        <x:v>MSC</x:v>
      </x:c>
      <x:c r="E162" s="10" t="str">
        <x:v>MSC / partenaire Premier</x:v>
      </x:c>
      <x:c r="F162" s="10" t="str">
        <x:v>MSC AUDREY</x:v>
      </x:c>
      <x:c r="G162" s="10" t="str"/>
      <x:c r="H162" s="10" t="str">
        <x:v>2025-06-03</x:v>
      </x:c>
      <x:c r="I162" s="10" t="n">
        <x:v>2025</x:v>
      </x:c>
      <x:c r="J162" s="10" t="str">
        <x:v>Service partagé ONE/Premier</x:v>
      </x:c>
      <x:c r="K162" s="10" t="str">
        <x:v>Le Havre</x:v>
      </x:c>
      <x:c r="L162" s="10" t="str">
        <x:v>B1</x:v>
      </x:c>
      <x:c r="M162" s="10" t="str">
        <x:v>https://ch.one-line.com/sites/g/files/lnzjqr2191/files/schedules/2025-05/Europe%20Schedule.pdf</x:v>
      </x:c>
      <x:c r="N162" s="10" t="str">
        <x:v>Schedule officiel ONE.</x:v>
      </x:c>
    </x:row>
    <x:row r="163">
      <x:c r="A163" s="10" t="str">
        <x:v>MSC (Mediterranean Shipping Company)</x:v>
      </x:c>
      <x:c r="B163" s="10" t="str">
        <x:v>Référentiel V4</x:v>
      </x:c>
      <x:c r="C163" s="10" t="str">
        <x:v>EU-A</x:v>
      </x:c>
      <x:c r="D163" s="10" t="str">
        <x:v>MSC</x:v>
      </x:c>
      <x:c r="E163" s="10" t="str">
        <x:v>MSC / partenaire Premier</x:v>
      </x:c>
      <x:c r="F163" s="10" t="str">
        <x:v>MSC CAMILLE</x:v>
      </x:c>
      <x:c r="G163" s="10" t="str"/>
      <x:c r="H163" s="10" t="str">
        <x:v>2026-05-02</x:v>
      </x:c>
      <x:c r="I163" s="10" t="n">
        <x:v>2026</x:v>
      </x:c>
      <x:c r="J163" s="10" t="str">
        <x:v>FE6 / coopération</x:v>
      </x:c>
      <x:c r="K163" s="10" t="str">
        <x:v>Le Havre</x:v>
      </x:c>
      <x:c r="L163" s="10" t="str">
        <x:v>B1</x:v>
      </x:c>
      <x:c r="M163" s="10" t="str">
        <x:v>https://ch.one-line.com/sites/g/files/lnzjqr2191/files/schedules/2026-02/Nbo-Mar-Schedule-2026.pdf</x:v>
      </x:c>
      <x:c r="N163" s="10" t="str">
        <x:v>ETA Le Havre publiée sur schedule officiel ONE.</x:v>
      </x:c>
    </x:row>
    <x:row r="164">
      <x:c r="A164" s="10" t="str">
        <x:v>MSC (Mediterranean Shipping Company)</x:v>
      </x:c>
      <x:c r="B164" s="10" t="str">
        <x:v>Référentiel V4</x:v>
      </x:c>
      <x:c r="C164" s="10" t="str">
        <x:v>EU-A</x:v>
      </x:c>
      <x:c r="D164" s="10" t="str">
        <x:v>MSC</x:v>
      </x:c>
      <x:c r="E164" s="10" t="str">
        <x:v>MSC / partenaire Premier</x:v>
      </x:c>
      <x:c r="F164" s="10" t="str">
        <x:v>MSC GERMANY</x:v>
      </x:c>
      <x:c r="G164" s="10" t="str"/>
      <x:c r="H164" s="10" t="str">
        <x:v>2025-05-28</x:v>
      </x:c>
      <x:c r="I164" s="10" t="n">
        <x:v>2025</x:v>
      </x:c>
      <x:c r="J164" s="10" t="str">
        <x:v>Service partagé ONE/Premier</x:v>
      </x:c>
      <x:c r="K164" s="10" t="str">
        <x:v>Le Havre</x:v>
      </x:c>
      <x:c r="L164" s="10" t="str">
        <x:v>B1</x:v>
      </x:c>
      <x:c r="M164" s="10" t="str">
        <x:v>https://ch.one-line.com/sites/g/files/lnzjqr2191/files/schedules/2025-04/Europe%20Schedule.pdf</x:v>
      </x:c>
      <x:c r="N164" s="10" t="str">
        <x:v>Schedule officiel ONE.</x:v>
      </x:c>
    </x:row>
    <x:row r="165">
      <x:c r="A165" s="10" t="str">
        <x:v>MSC (Mediterranean Shipping Company)</x:v>
      </x:c>
      <x:c r="B165" s="10" t="str">
        <x:v>Référentiel V4</x:v>
      </x:c>
      <x:c r="C165" s="10" t="str">
        <x:v>EU-A</x:v>
      </x:c>
      <x:c r="D165" s="10" t="str">
        <x:v>MSC</x:v>
      </x:c>
      <x:c r="E165" s="10" t="str">
        <x:v>MSC / partenaire Premier</x:v>
      </x:c>
      <x:c r="F165" s="10" t="str">
        <x:v>MSC GRACE</x:v>
      </x:c>
      <x:c r="G165" s="10" t="str"/>
      <x:c r="H165" s="10" t="str">
        <x:v>2026-04-25</x:v>
      </x:c>
      <x:c r="I165" s="10" t="n">
        <x:v>2026</x:v>
      </x:c>
      <x:c r="J165" s="10" t="str">
        <x:v>FE6 / coopération</x:v>
      </x:c>
      <x:c r="K165" s="10" t="str">
        <x:v>Le Havre</x:v>
      </x:c>
      <x:c r="L165" s="10" t="str">
        <x:v>B1</x:v>
      </x:c>
      <x:c r="M165" s="10" t="str">
        <x:v>https://ch.one-line.com/sites/g/files/lnzjqr2191/files/schedules/2026-02/Nbo-Mar-Schedule-2026.pdf</x:v>
      </x:c>
      <x:c r="N165" s="10" t="str">
        <x:v>ETA Le Havre publiée sur schedule officiel ONE.</x:v>
      </x:c>
    </x:row>
    <x:row r="166">
      <x:c r="A166" s="10" t="str">
        <x:v>MSC (Mediterranean Shipping Company)</x:v>
      </x:c>
      <x:c r="B166" s="10" t="str">
        <x:v>Référentiel V4</x:v>
      </x:c>
      <x:c r="C166" s="10" t="str">
        <x:v>EU-A</x:v>
      </x:c>
      <x:c r="D166" s="10" t="str">
        <x:v>MSC</x:v>
      </x:c>
      <x:c r="E166" s="10" t="str">
        <x:v>MSC / partenaire Premier</x:v>
      </x:c>
      <x:c r="F166" s="10" t="str">
        <x:v>MSC IDANIA M</x:v>
      </x:c>
      <x:c r="G166" s="10" t="str"/>
      <x:c r="H166" s="10" t="str">
        <x:v>2025-05-20</x:v>
      </x:c>
      <x:c r="I166" s="10" t="n">
        <x:v>2025</x:v>
      </x:c>
      <x:c r="J166" s="10" t="str">
        <x:v>Service partagé ONE/Premier</x:v>
      </x:c>
      <x:c r="K166" s="10" t="str">
        <x:v>Le Havre</x:v>
      </x:c>
      <x:c r="L166" s="10" t="str">
        <x:v>B1</x:v>
      </x:c>
      <x:c r="M166" s="10" t="str">
        <x:v>https://ch.one-line.com/sites/g/files/lnzjqr2191/files/schedules/2025-04/Europe%20Schedule.pdf</x:v>
      </x:c>
      <x:c r="N166" s="10" t="str">
        <x:v>Schedule officiel ONE.</x:v>
      </x:c>
    </x:row>
    <x:row r="167">
      <x:c r="A167" s="10" t="str">
        <x:v>MSC (Mediterranean Shipping Company)</x:v>
      </x:c>
      <x:c r="B167" s="10" t="str">
        <x:v>Référentiel V4</x:v>
      </x:c>
      <x:c r="C167" s="10" t="str">
        <x:v>EU-A</x:v>
      </x:c>
      <x:c r="D167" s="10" t="str">
        <x:v>MSC</x:v>
      </x:c>
      <x:c r="E167" s="10" t="str">
        <x:v>MSC / partenaire Premier</x:v>
      </x:c>
      <x:c r="F167" s="10" t="str">
        <x:v>MSC ISCHIA</x:v>
      </x:c>
      <x:c r="G167" s="10" t="str"/>
      <x:c r="H167" s="10" t="str">
        <x:v>2026-05-04</x:v>
      </x:c>
      <x:c r="I167" s="10" t="n">
        <x:v>2026</x:v>
      </x:c>
      <x:c r="J167" s="10" t="str">
        <x:v>FE / coopération</x:v>
      </x:c>
      <x:c r="K167" s="10" t="str">
        <x:v>Le Havre</x:v>
      </x:c>
      <x:c r="L167" s="10" t="str">
        <x:v>B1</x:v>
      </x:c>
      <x:c r="M167" s="10" t="str">
        <x:v>https://ch.one-line.com/sites/g/files/lnzjqr2191/files/schedules/2026-02/Qdo-Mar-Schedule-2026_0.pdf</x:v>
      </x:c>
      <x:c r="N167" s="10" t="str">
        <x:v>ETA Le Havre publiée sur schedule officiel ONE.</x:v>
      </x:c>
    </x:row>
    <x:row r="168">
      <x:c r="A168" s="10" t="str">
        <x:v>MSC (Mediterranean Shipping Company)</x:v>
      </x:c>
      <x:c r="B168" s="10" t="str">
        <x:v>Référentiel V4</x:v>
      </x:c>
      <x:c r="C168" s="10" t="str">
        <x:v>EU-A</x:v>
      </x:c>
      <x:c r="D168" s="10" t="str">
        <x:v>MSC</x:v>
      </x:c>
      <x:c r="E168" s="10" t="str">
        <x:v>MSC / partenaire Premier</x:v>
      </x:c>
      <x:c r="F168" s="10" t="str">
        <x:v>MSC MARIAGRAZIA</x:v>
      </x:c>
      <x:c r="G168" s="10" t="str"/>
      <x:c r="H168" s="10" t="str">
        <x:v>2025-06-15</x:v>
      </x:c>
      <x:c r="I168" s="10" t="n">
        <x:v>2025</x:v>
      </x:c>
      <x:c r="J168" s="10" t="str">
        <x:v>Service partagé ONE/Premier</x:v>
      </x:c>
      <x:c r="K168" s="10" t="str">
        <x:v>Le Havre</x:v>
      </x:c>
      <x:c r="L168" s="10" t="str">
        <x:v>B1</x:v>
      </x:c>
      <x:c r="M168" s="10" t="str">
        <x:v>https://ch.one-line.com/sites/g/files/lnzjqr2191/files/schedules/2025-05/Europe%20Schedule.pdf</x:v>
      </x:c>
      <x:c r="N168" s="10" t="str">
        <x:v>Schedule officiel ONE.</x:v>
      </x:c>
    </x:row>
    <x:row r="169">
      <x:c r="A169" s="10" t="str">
        <x:v>MSC (Mediterranean Shipping Company)</x:v>
      </x:c>
      <x:c r="B169" s="10" t="str">
        <x:v>Référentiel V4</x:v>
      </x:c>
      <x:c r="C169" s="10" t="str">
        <x:v>EU-A</x:v>
      </x:c>
      <x:c r="D169" s="10" t="str">
        <x:v>MSC</x:v>
      </x:c>
      <x:c r="E169" s="10" t="str">
        <x:v>MSC / partenaire Premier</x:v>
      </x:c>
      <x:c r="F169" s="10" t="str">
        <x:v>MSC MARTINA MARIA</x:v>
      </x:c>
      <x:c r="G169" s="10" t="str"/>
      <x:c r="H169" s="10" t="str">
        <x:v>2025-05-02</x:v>
      </x:c>
      <x:c r="I169" s="10" t="n">
        <x:v>2025</x:v>
      </x:c>
      <x:c r="J169" s="10" t="str">
        <x:v>Service partagé ONE/Premier</x:v>
      </x:c>
      <x:c r="K169" s="10" t="str">
        <x:v>Le Havre</x:v>
      </x:c>
      <x:c r="L169" s="10" t="str">
        <x:v>B1</x:v>
      </x:c>
      <x:c r="M169" s="10" t="str">
        <x:v>https://ch.one-line.com/sites/g/files/lnzjqr2191/files/schedules/2025-04/Europe%20Schedule.pdf</x:v>
      </x:c>
      <x:c r="N169" s="10" t="str">
        <x:v>Schedule officiel ONE.</x:v>
      </x:c>
    </x:row>
    <x:row r="170">
      <x:c r="A170" s="10" t="str">
        <x:v>MSC (Mediterranean Shipping Company)</x:v>
      </x:c>
      <x:c r="B170" s="10" t="str">
        <x:v>Référentiel V4</x:v>
      </x:c>
      <x:c r="C170" s="10" t="str">
        <x:v>EU-A</x:v>
      </x:c>
      <x:c r="D170" s="10" t="str">
        <x:v>MSC</x:v>
      </x:c>
      <x:c r="E170" s="10" t="str">
        <x:v>MSC / partenaire Premier</x:v>
      </x:c>
      <x:c r="F170" s="10" t="str">
        <x:v>MSC MATILDE</x:v>
      </x:c>
      <x:c r="G170" s="10" t="str"/>
      <x:c r="H170" s="10" t="str">
        <x:v>2025-06-25</x:v>
      </x:c>
      <x:c r="I170" s="10" t="n">
        <x:v>2025</x:v>
      </x:c>
      <x:c r="J170" s="10" t="str">
        <x:v>Service partagé ONE/Premier</x:v>
      </x:c>
      <x:c r="K170" s="10" t="str">
        <x:v>Le Havre</x:v>
      </x:c>
      <x:c r="L170" s="10" t="str">
        <x:v>B1</x:v>
      </x:c>
      <x:c r="M170" s="10" t="str">
        <x:v>https://ch.one-line.com/sites/g/files/lnzjqr2191/files/schedules/2025-05/Europe%20Schedule.pdf</x:v>
      </x:c>
      <x:c r="N170" s="10" t="str">
        <x:v>Schedule officiel ONE ; orthographe parfois erronée dans certains tableaux.</x:v>
      </x:c>
    </x:row>
    <x:row r="171">
      <x:c r="A171" s="10" t="str">
        <x:v>MSC (Mediterranean Shipping Company)</x:v>
      </x:c>
      <x:c r="B171" s="10" t="str">
        <x:v>Référentiel V4</x:v>
      </x:c>
      <x:c r="C171" s="10" t="str">
        <x:v>EU-A</x:v>
      </x:c>
      <x:c r="D171" s="10" t="str">
        <x:v>MSC</x:v>
      </x:c>
      <x:c r="E171" s="10" t="str">
        <x:v>MSC / partenaire Premier</x:v>
      </x:c>
      <x:c r="F171" s="10" t="str">
        <x:v>MSC MONICA CRISTINA</x:v>
      </x:c>
      <x:c r="G171" s="10" t="str"/>
      <x:c r="H171" s="10" t="str">
        <x:v>2025-05-12</x:v>
      </x:c>
      <x:c r="I171" s="10" t="n">
        <x:v>2025</x:v>
      </x:c>
      <x:c r="J171" s="10" t="str">
        <x:v>Service partagé ONE/Premier</x:v>
      </x:c>
      <x:c r="K171" s="10" t="str">
        <x:v>Le Havre</x:v>
      </x:c>
      <x:c r="L171" s="10" t="str">
        <x:v>B1</x:v>
      </x:c>
      <x:c r="M171" s="10" t="str">
        <x:v>https://ch.one-line.com/sites/g/files/lnzjqr2191/files/schedules/2025-04/Europe%20Schedule.pdf</x:v>
      </x:c>
      <x:c r="N171" s="10" t="str">
        <x:v>Schedule officiel ONE.</x:v>
      </x:c>
    </x:row>
    <x:row r="172">
      <x:c r="A172" s="10" t="str">
        <x:v>MSC (Mediterranean Shipping Company)</x:v>
      </x:c>
      <x:c r="B172" s="10" t="str">
        <x:v>Référentiel V4</x:v>
      </x:c>
      <x:c r="C172" s="10" t="str">
        <x:v>EU-A</x:v>
      </x:c>
      <x:c r="D172" s="10" t="str">
        <x:v>MSC</x:v>
      </x:c>
      <x:c r="E172" s="10" t="str">
        <x:v>MSC / partenaire Premier</x:v>
      </x:c>
      <x:c r="F172" s="10" t="str">
        <x:v>MSC NEW YORK</x:v>
      </x:c>
      <x:c r="G172" s="10" t="str"/>
      <x:c r="H172" s="10" t="str">
        <x:v>2025-06-04</x:v>
      </x:c>
      <x:c r="I172" s="10" t="n">
        <x:v>2025</x:v>
      </x:c>
      <x:c r="J172" s="10" t="str">
        <x:v>Service partagé ONE/Premier</x:v>
      </x:c>
      <x:c r="K172" s="10" t="str">
        <x:v>Le Havre</x:v>
      </x:c>
      <x:c r="L172" s="10" t="str">
        <x:v>B1</x:v>
      </x:c>
      <x:c r="M172" s="10" t="str">
        <x:v>https://ch.one-line.com/sites/g/files/lnzjqr2191/files/schedules/2025-05/Europe%20Schedule.pdf</x:v>
      </x:c>
      <x:c r="N172" s="10" t="str">
        <x:v>Schedule officiel ONE.</x:v>
      </x:c>
    </x:row>
    <x:row r="173">
      <x:c r="A173" s="10" t="str">
        <x:v>MSC (Mediterranean Shipping Company)</x:v>
      </x:c>
      <x:c r="B173" s="10" t="str">
        <x:v>Référentiel V4</x:v>
      </x:c>
      <x:c r="C173" s="10" t="str">
        <x:v>EU-A</x:v>
      </x:c>
      <x:c r="D173" s="10" t="str">
        <x:v>MSC</x:v>
      </x:c>
      <x:c r="E173" s="10" t="str">
        <x:v>MSC / partenaire Premier</x:v>
      </x:c>
      <x:c r="F173" s="10" t="str">
        <x:v>MSC TAYLOR</x:v>
      </x:c>
      <x:c r="G173" s="10" t="str"/>
      <x:c r="H173" s="10" t="str">
        <x:v>2025-05-01</x:v>
      </x:c>
      <x:c r="I173" s="10" t="n">
        <x:v>2025</x:v>
      </x:c>
      <x:c r="J173" s="10" t="str">
        <x:v>Service partagé ONE/Premier</x:v>
      </x:c>
      <x:c r="K173" s="10" t="str">
        <x:v>Le Havre</x:v>
      </x:c>
      <x:c r="L173" s="10" t="str">
        <x:v>B1</x:v>
      </x:c>
      <x:c r="M173" s="10" t="str">
        <x:v>https://ch.one-line.com/sites/g/files/lnzjqr2191/files/schedules/2025-04/Europe%20Schedule.pdf</x:v>
      </x:c>
      <x:c r="N173" s="10" t="str">
        <x:v>Schedule officiel ONE.</x:v>
      </x:c>
    </x:row>
    <x:row r="174">
      <x:c r="A174" s="10" t="str">
        <x:v>MSC (Mediterranean Shipping Company)</x:v>
      </x:c>
      <x:c r="B174" s="10" t="str">
        <x:v>Référentiel V4</x:v>
      </x:c>
      <x:c r="C174" s="10" t="str">
        <x:v>EU-A</x:v>
      </x:c>
      <x:c r="D174" s="10" t="str">
        <x:v>MSC</x:v>
      </x:c>
      <x:c r="E174" s="10" t="str">
        <x:v>MSC / partenaire Premier</x:v>
      </x:c>
      <x:c r="F174" s="10" t="str">
        <x:v>MSC TERESA</x:v>
      </x:c>
      <x:c r="G174" s="10" t="str"/>
      <x:c r="H174" s="10" t="str">
        <x:v>2025-06-20</x:v>
      </x:c>
      <x:c r="I174" s="10" t="n">
        <x:v>2025</x:v>
      </x:c>
      <x:c r="J174" s="10" t="str">
        <x:v>Service partagé ONE/Premier</x:v>
      </x:c>
      <x:c r="K174" s="10" t="str">
        <x:v>Le Havre</x:v>
      </x:c>
      <x:c r="L174" s="10" t="str">
        <x:v>B1</x:v>
      </x:c>
      <x:c r="M174" s="10" t="str">
        <x:v>https://ch.one-line.com/sites/g/files/lnzjqr2191/files/schedules/2025-05/Europe%20Schedule.pdf</x:v>
      </x:c>
      <x:c r="N174" s="10" t="str">
        <x:v>Schedule officiel ONE.</x:v>
      </x:c>
    </x:row>
    <x:row r="175">
      <x:c r="A175" s="10" t="str">
        <x:v>MSC (Mediterranean Shipping Company)</x:v>
      </x:c>
      <x:c r="B175" s="10" t="str">
        <x:v>Référentiel V4</x:v>
      </x:c>
      <x:c r="C175" s="10" t="str">
        <x:v>EU-A</x:v>
      </x:c>
      <x:c r="D175" s="10" t="str">
        <x:v>WEC Lines</x:v>
      </x:c>
      <x:c r="E175" s="10" t="str">
        <x:v>WEC Lines</x:v>
      </x:c>
      <x:c r="F175" s="10" t="str">
        <x:v>TROUPER</x:v>
      </x:c>
      <x:c r="G175" s="10" t="str"/>
      <x:c r="H175" s="10" t="str">
        <x:v>2025-07-31</x:v>
      </x:c>
      <x:c r="I175" s="10" t="n">
        <x:v>2025</x:v>
      </x:c>
      <x:c r="J175" s="10" t="str">
        <x:v>Zeebruges–Dublin–Le Havre–Zeebruges</x:v>
      </x:c>
      <x:c r="K175" s="10" t="str">
        <x:v>TNMSC</x:v>
      </x:c>
      <x:c r="L175" s="10" t="str">
        <x:v>A1</x:v>
      </x:c>
      <x:c r="M175" s="10" t="str">
        <x:v>https://www.haropaport.com/fr/actualites/wec-lines-deploie-une-nouvelle-rotation-shortsea-integrant-le-havre</x:v>
      </x:c>
      <x:c r="N175" s="10" t="str">
        <x:v>Première escale du nouveau service.</x:v>
      </x:c>
    </x:row>
    <x:row r="176">
      <x:c r="A176" s="10" t="str">
        <x:v>MSC (Mediterranean Shipping Company)</x:v>
      </x:c>
      <x:c r="B176" s="10" t="str">
        <x:v>Référentiel V4</x:v>
      </x:c>
      <x:c r="C176" s="10" t="str">
        <x:v>EU-A</x:v>
      </x:c>
      <x:c r="D176" s="10" t="str">
        <x:v>WEC Lines</x:v>
      </x:c>
      <x:c r="E176" s="10" t="str">
        <x:v>WEC Lines</x:v>
      </x:c>
      <x:c r="F176" s="10" t="str">
        <x:v>WEC VAN EYCK</x:v>
      </x:c>
      <x:c r="G176" s="10" t="str">
        <x:v>9365984</x:v>
      </x:c>
      <x:c r="H176" s="10" t="str">
        <x:v>2025-02-10</x:v>
      </x:c>
      <x:c r="I176" s="10" t="n">
        <x:v>2025</x:v>
      </x:c>
      <x:c r="J176" s="10" t="str">
        <x:v>Bilbao–Le Havre–Dublin–Liverpool</x:v>
      </x:c>
      <x:c r="K176" s="10" t="str">
        <x:v>TNMSC</x:v>
      </x:c>
      <x:c r="L176" s="10" t="str">
        <x:v>A1</x:v>
      </x:c>
      <x:c r="M176" s="10" t="str">
        <x:v>https://www.haropaport.com/fr/actualites/wec-lines-renforce-loffre-shortsea-de-haropa-port</x:v>
      </x:c>
      <x:c r="N176" s="10" t="str">
        <x:v>Escale inaugurale du service.</x:v>
      </x:c>
    </x:row>
    <x:row r="177">
      <x:c r="A177" s="10" t="str">
        <x:v>MSC (Mediterranean Shipping Company)</x:v>
      </x:c>
      <x:c r="B177" s="10" t="str">
        <x:v>Référentiel V4</x:v>
      </x:c>
      <x:c r="C177" s="10" t="str">
        <x:v>EU-A</x:v>
      </x:c>
      <x:c r="D177" s="10" t="str">
        <x:v>WEC Lines</x:v>
      </x:c>
      <x:c r="E177" s="10" t="str">
        <x:v>WEC Lines / navire affrété</x:v>
      </x:c>
      <x:c r="F177" s="10" t="str">
        <x:v>BERNHARD SCHEPERS</x:v>
      </x:c>
      <x:c r="G177" s="10" t="str">
        <x:v>9492505</x:v>
      </x:c>
      <x:c r="H177" s="10" t="str">
        <x:v>2025-06-20</x:v>
      </x:c>
      <x:c r="I177" s="10" t="n">
        <x:v>2025</x:v>
      </x:c>
      <x:c r="J177" s="10" t="str">
        <x:v>Shortsea WEC</x:v>
      </x:c>
      <x:c r="K177" s="10" t="str">
        <x:v>Le Havre</x:v>
      </x:c>
      <x:c r="L177" s="10" t="str">
        <x:v>C</x:v>
      </x:c>
      <x:c r="M177" s="10" t="str">
        <x:v>https://www.marine-marchande.net/Jourlejour4/AujourleJour-550.html</x:v>
      </x:c>
      <x:c r="N177" s="10" t="str">
        <x:v>Observation portuaire datée.</x:v>
      </x:c>
    </x:row>
    <x:row r="178">
      <x:c r="A178" s="10" t="str">
        <x:v>Maersk (A.P. Moller-Maersk)</x:v>
      </x:c>
      <x:c r="B178" s="10" t="str">
        <x:v>Référentiel V4</x:v>
      </x:c>
      <x:c r="C178" s="10" t="str">
        <x:v>EU-A</x:v>
      </x:c>
      <x:c r="D178" s="10" t="str">
        <x:v>Maersk</x:v>
      </x:c>
      <x:c r="E178" s="10" t="str">
        <x:v>Maersk</x:v>
      </x:c>
      <x:c r="F178" s="10" t="str">
        <x:v>ANE MAERSK</x:v>
      </x:c>
      <x:c r="G178" s="10" t="str">
        <x:v>9948748</x:v>
      </x:c>
      <x:c r="H178" s="10" t="str">
        <x:v>2024-04</x:v>
      </x:c>
      <x:c r="I178" s="10" t="n">
        <x:v>2024</x:v>
      </x:c>
      <x:c r="J178" s="10" t="str">
        <x:v>Service Maersk</x:v>
      </x:c>
      <x:c r="K178" s="10" t="str">
        <x:v>Port 2000</x:v>
      </x:c>
      <x:c r="L178" s="10" t="str">
        <x:v>C</x:v>
      </x:c>
      <x:c r="M178" s="10" t="str">
        <x:v>https://www.marine-marchande.net/Jourlejour4/AujourleJour-535.html</x:v>
      </x:c>
      <x:c r="N178" s="10" t="str">
        <x:v>Premier voyage ; fin de rotation européenne au Havre.</x:v>
      </x:c>
    </x:row>
    <x:row r="179">
      <x:c r="A179" s="10" t="str">
        <x:v>Maersk (A.P. Moller-Maersk)</x:v>
      </x:c>
      <x:c r="B179" s="10" t="str">
        <x:v>Référentiel V4</x:v>
      </x:c>
      <x:c r="C179" s="10" t="str">
        <x:v>EU-A</x:v>
      </x:c>
      <x:c r="D179" s="10" t="str">
        <x:v>Maersk</x:v>
      </x:c>
      <x:c r="E179" s="10" t="str">
        <x:v>Maersk</x:v>
      </x:c>
      <x:c r="F179" s="10" t="str">
        <x:v>CAPE CITIUS</x:v>
      </x:c>
      <x:c r="G179" s="10" t="str">
        <x:v>9848742</x:v>
      </x:c>
      <x:c r="H179" s="10" t="str">
        <x:v>2025-02-13</x:v>
      </x:c>
      <x:c r="I179" s="10" t="n">
        <x:v>2025</x:v>
      </x:c>
      <x:c r="J179" s="10" t="str">
        <x:v>Feeder Europe</x:v>
      </x:c>
      <x:c r="K179" s="10" t="str">
        <x:v>Le Havre</x:v>
      </x:c>
      <x:c r="L179" s="10" t="str">
        <x:v>C</x:v>
      </x:c>
      <x:c r="M179" s="10" t="str">
        <x:v>https://www.marine-marchande.net/Jourlejour4/AujourleJour-546.html</x:v>
      </x:c>
      <x:c r="N179" s="10" t="str">
        <x:v>Feeder Le Havre–Anvers–Rotterdam–Gdansk documenté.</x:v>
      </x:c>
    </x:row>
    <x:row r="180">
      <x:c r="A180" s="10" t="str">
        <x:v>Maersk (A.P. Moller-Maersk)</x:v>
      </x:c>
      <x:c r="B180" s="10" t="str">
        <x:v>Référentiel V4</x:v>
      </x:c>
      <x:c r="C180" s="10" t="str">
        <x:v>EU-A</x:v>
      </x:c>
      <x:c r="D180" s="10" t="str">
        <x:v>Maersk</x:v>
      </x:c>
      <x:c r="E180" s="10" t="str">
        <x:v>Maersk</x:v>
      </x:c>
      <x:c r="F180" s="10" t="str">
        <x:v>ELLY MAERSK</x:v>
      </x:c>
      <x:c r="G180" s="10" t="str">
        <x:v>9321536</x:v>
      </x:c>
      <x:c r="H180" s="10" t="str">
        <x:v>2023-05-18</x:v>
      </x:c>
      <x:c r="I180" s="10" t="n">
        <x:v>2023</x:v>
      </x:c>
      <x:c r="J180" s="10" t="str">
        <x:v>2M / Asie-Europe</x:v>
      </x:c>
      <x:c r="K180" s="10" t="str">
        <x:v>Le Havre</x:v>
      </x:c>
      <x:c r="L180" s="10" t="str">
        <x:v>C</x:v>
      </x:c>
      <x:c r="M180" s="10" t="str">
        <x:v>https://www.marine-marchande.net/Jourlejour4/AujourleJour-524.html</x:v>
      </x:c>
      <x:c r="N180" s="10" t="str">
        <x:v>Arrivée de Londres et dernière escale européenne documentée.</x:v>
      </x:c>
    </x:row>
    <x:row r="181">
      <x:c r="A181" s="10" t="str">
        <x:v>Maersk (A.P. Moller-Maersk)</x:v>
      </x:c>
      <x:c r="B181" s="10" t="str">
        <x:v>Référentiel V4</x:v>
      </x:c>
      <x:c r="C181" s="10" t="str">
        <x:v>EU-A</x:v>
      </x:c>
      <x:c r="D181" s="10" t="str">
        <x:v>Maersk</x:v>
      </x:c>
      <x:c r="E181" s="10" t="str">
        <x:v>Maersk</x:v>
      </x:c>
      <x:c r="F181" s="10" t="str">
        <x:v>ESTELLE MAERSK</x:v>
      </x:c>
      <x:c r="G181" s="10" t="str"/>
      <x:c r="H181" s="10" t="str">
        <x:v>2023-02-04</x:v>
      </x:c>
      <x:c r="I181" s="10" t="n">
        <x:v>2023</x:v>
      </x:c>
      <x:c r="J181" s="10" t="str">
        <x:v>2M</x:v>
      </x:c>
      <x:c r="K181" s="10" t="str">
        <x:v>Le Havre</x:v>
      </x:c>
      <x:c r="L181" s="10" t="str">
        <x:v>C</x:v>
      </x:c>
      <x:c r="M181" s="10" t="str">
        <x:v>https://www.marine-marchande.net/Jourlejour4/AujourleJour-521.html</x:v>
      </x:c>
      <x:c r="N181" s="10" t="str">
        <x:v>Observation portuaire datée.</x:v>
      </x:c>
    </x:row>
    <x:row r="182">
      <x:c r="A182" s="10" t="str">
        <x:v>Maersk (A.P. Moller-Maersk)</x:v>
      </x:c>
      <x:c r="B182" s="10" t="str">
        <x:v>Référentiel V4</x:v>
      </x:c>
      <x:c r="C182" s="10" t="str">
        <x:v>EU-A</x:v>
      </x:c>
      <x:c r="D182" s="10" t="str">
        <x:v>Maersk</x:v>
      </x:c>
      <x:c r="E182" s="10" t="str">
        <x:v>Maersk</x:v>
      </x:c>
      <x:c r="F182" s="10" t="str">
        <x:v>EUGEN MAERSK</x:v>
      </x:c>
      <x:c r="G182" s="10" t="str">
        <x:v>9321550</x:v>
      </x:c>
      <x:c r="H182" s="10" t="str">
        <x:v>2024-05</x:v>
      </x:c>
      <x:c r="I182" s="10" t="n">
        <x:v>2024</x:v>
      </x:c>
      <x:c r="J182" s="10" t="str">
        <x:v>Service Maersk</x:v>
      </x:c>
      <x:c r="K182" s="10" t="str">
        <x:v>Le Havre</x:v>
      </x:c>
      <x:c r="L182" s="10" t="str">
        <x:v>C</x:v>
      </x:c>
      <x:c r="M182" s="10" t="str">
        <x:v>https://www.marine-marchande.net/Jourlejour4/AujourleJour-537.html</x:v>
      </x:c>
      <x:c r="N182" s="10" t="str">
        <x:v>Arrivée de Londres pour la dernière escale européenne.</x:v>
      </x:c>
    </x:row>
    <x:row r="183">
      <x:c r="A183" s="10" t="str">
        <x:v>Maersk (A.P. Moller-Maersk)</x:v>
      </x:c>
      <x:c r="B183" s="10" t="str">
        <x:v>Référentiel V4</x:v>
      </x:c>
      <x:c r="C183" s="10" t="str">
        <x:v>EU-A</x:v>
      </x:c>
      <x:c r="D183" s="10" t="str">
        <x:v>Maersk</x:v>
      </x:c>
      <x:c r="E183" s="10" t="str">
        <x:v>Maersk</x:v>
      </x:c>
      <x:c r="F183" s="10" t="str">
        <x:v>MAERSK ADELAIDE</x:v>
      </x:c>
      <x:c r="G183" s="10" t="str"/>
      <x:c r="H183" s="10" t="str">
        <x:v>2023-04</x:v>
      </x:c>
      <x:c r="I183" s="10" t="n">
        <x:v>2023</x:v>
      </x:c>
      <x:c r="J183" s="10" t="str">
        <x:v>TA2</x:v>
      </x:c>
      <x:c r="K183" s="10" t="str">
        <x:v>Le Havre</x:v>
      </x:c>
      <x:c r="L183" s="10" t="str">
        <x:v>B2</x:v>
      </x:c>
      <x:c r="M183" s="10" t="str">
        <x:v>https://www.maersk.com/news/articles/2023/03/28/ta2-service-update</x:v>
      </x:c>
      <x:c r="N183" s="10" t="str">
        <x:v>Le Havre intégré à la rotation annoncée du navire/service.</x:v>
      </x:c>
    </x:row>
    <x:row r="184">
      <x:c r="A184" s="10" t="str">
        <x:v>Maersk (A.P. Moller-Maersk)</x:v>
      </x:c>
      <x:c r="B184" s="10" t="str">
        <x:v>Référentiel V4</x:v>
      </x:c>
      <x:c r="C184" s="10" t="str">
        <x:v>EU-A</x:v>
      </x:c>
      <x:c r="D184" s="10" t="str">
        <x:v>Maersk</x:v>
      </x:c>
      <x:c r="E184" s="10" t="str">
        <x:v>Maersk</x:v>
      </x:c>
      <x:c r="F184" s="10" t="str">
        <x:v>MAERSK CAMPTON</x:v>
      </x:c>
      <x:c r="G184" s="10" t="str"/>
      <x:c r="H184" s="10" t="str">
        <x:v>2023-01-08</x:v>
      </x:c>
      <x:c r="I184" s="10" t="n">
        <x:v>2023</x:v>
      </x:c>
      <x:c r="J184" s="10" t="str">
        <x:v>2M / Asie-Europe</x:v>
      </x:c>
      <x:c r="K184" s="10" t="str">
        <x:v>Le Havre</x:v>
      </x:c>
      <x:c r="L184" s="10" t="str">
        <x:v>C</x:v>
      </x:c>
      <x:c r="M184" s="10" t="str">
        <x:v>https://www.marine-marchande.net/Jourlejour4/AujourleJour-520.html</x:v>
      </x:c>
      <x:c r="N184" s="10" t="str">
        <x:v>Dernière escale européenne du voyage documentée au Havre.</x:v>
      </x:c>
    </x:row>
    <x:row r="185">
      <x:c r="A185" s="10" t="str">
        <x:v>Maersk (A.P. Moller-Maersk)</x:v>
      </x:c>
      <x:c r="B185" s="10" t="str">
        <x:v>Référentiel V4</x:v>
      </x:c>
      <x:c r="C185" s="10" t="str">
        <x:v>EU-A</x:v>
      </x:c>
      <x:c r="D185" s="10" t="str">
        <x:v>Maersk</x:v>
      </x:c>
      <x:c r="E185" s="10" t="str">
        <x:v>Maersk</x:v>
      </x:c>
      <x:c r="F185" s="10" t="str">
        <x:v>MAERSK NUBA</x:v>
      </x:c>
      <x:c r="G185" s="10" t="str"/>
      <x:c r="H185" s="10" t="str">
        <x:v>2025-08-17</x:v>
      </x:c>
      <x:c r="I185" s="10" t="n">
        <x:v>2025</x:v>
      </x:c>
      <x:c r="J185" s="10" t="str">
        <x:v>Service Maersk</x:v>
      </x:c>
      <x:c r="K185" s="10" t="str">
        <x:v>Terminal de l'Atlantique</x:v>
      </x:c>
      <x:c r="L185" s="10" t="str">
        <x:v>C</x:v>
      </x:c>
      <x:c r="M185" s="10" t="str">
        <x:v>https://www.marine-marchande.net/Jourlejour4/AujourleJour-551.html</x:v>
      </x:c>
      <x:c r="N185" s="10" t="str">
        <x:v>Arrivée d'Algeciras documentée.</x:v>
      </x:c>
    </x:row>
    <x:row r="186">
      <x:c r="A186" s="10" t="str">
        <x:v>Maersk (A.P. Moller-Maersk)</x:v>
      </x:c>
      <x:c r="B186" s="10" t="str">
        <x:v>Référentiel V4</x:v>
      </x:c>
      <x:c r="C186" s="10" t="str">
        <x:v>EU-A</x:v>
      </x:c>
      <x:c r="D186" s="10" t="str">
        <x:v>Maersk</x:v>
      </x:c>
      <x:c r="E186" s="10" t="str">
        <x:v>Maersk</x:v>
      </x:c>
      <x:c r="F186" s="10" t="str">
        <x:v>MUNKEBO MAERSK</x:v>
      </x:c>
      <x:c r="G186" s="10" t="str"/>
      <x:c r="H186" s="10" t="str">
        <x:v>2023-02-13</x:v>
      </x:c>
      <x:c r="I186" s="10" t="n">
        <x:v>2023</x:v>
      </x:c>
      <x:c r="J186" s="10" t="str">
        <x:v>2M</x:v>
      </x:c>
      <x:c r="K186" s="10" t="str">
        <x:v>Le Havre</x:v>
      </x:c>
      <x:c r="L186" s="10" t="str">
        <x:v>C</x:v>
      </x:c>
      <x:c r="M186" s="10" t="str">
        <x:v>https://www.marine-marchande.net/Jourlejour4/AujourleJour-521.html</x:v>
      </x:c>
      <x:c r="N186" s="10" t="str">
        <x:v>Observation portuaire datée.</x:v>
      </x:c>
    </x:row>
    <x:row r="187">
      <x:c r="A187" s="10" t="str">
        <x:v>Maersk (A.P. Moller-Maersk)</x:v>
      </x:c>
      <x:c r="B187" s="10" t="str">
        <x:v>Référentiel V4</x:v>
      </x:c>
      <x:c r="C187" s="10" t="str">
        <x:v>EU-A</x:v>
      </x:c>
      <x:c r="D187" s="10" t="str">
        <x:v>Maersk</x:v>
      </x:c>
      <x:c r="E187" s="10" t="str">
        <x:v>Maersk / navire affrété</x:v>
      </x:c>
      <x:c r="F187" s="10" t="str">
        <x:v>JPO LIBRA</x:v>
      </x:c>
      <x:c r="G187" s="10" t="str"/>
      <x:c r="H187" s="10" t="str">
        <x:v>2023-09</x:v>
      </x:c>
      <x:c r="I187" s="10" t="n">
        <x:v>2023</x:v>
      </x:c>
      <x:c r="J187" s="10" t="str">
        <x:v>Service Maersk</x:v>
      </x:c>
      <x:c r="K187" s="10" t="str">
        <x:v>Le Havre</x:v>
      </x:c>
      <x:c r="L187" s="10" t="str">
        <x:v>B2</x:v>
      </x:c>
      <x:c r="M187" s="10" t="str">
        <x:v>https://www.maersk.com/news/articles/2023/09/01/operational-update-north-europe</x:v>
      </x:c>
      <x:c r="N187" s="10" t="str">
        <x:v>Chargement Le Havre documenté par Maersk.</x:v>
      </x:c>
    </x:row>
    <x:row r="188">
      <x:c r="A188" s="10" t="str">
        <x:v>Marfret</x:v>
      </x:c>
      <x:c r="B188" s="10" t="str">
        <x:v>Référentiel V4</x:v>
      </x:c>
      <x:c r="C188" s="10" t="str">
        <x:v>EU-A</x:v>
      </x:c>
      <x:c r="D188" s="10" t="str">
        <x:v>Marfret</x:v>
      </x:c>
      <x:c r="E188" s="10" t="str">
        <x:v>Marfret</x:v>
      </x:c>
      <x:c r="F188" s="10" t="str">
        <x:v>DOUCE FRANCE</x:v>
      </x:c>
      <x:c r="G188" s="10" t="str"/>
      <x:c r="H188" s="10" t="str">
        <x:v>2024-07-04</x:v>
      </x:c>
      <x:c r="I188" s="10" t="n">
        <x:v>2024</x:v>
      </x:c>
      <x:c r="J188" s="10" t="str">
        <x:v>Service Marfret</x:v>
      </x:c>
      <x:c r="K188" s="10" t="str">
        <x:v>Le Havre</x:v>
      </x:c>
      <x:c r="L188" s="10" t="str">
        <x:v>C</x:v>
      </x:c>
      <x:c r="M188" s="10" t="str">
        <x:v>https://www.marine-marchande.net/Jourlejour4/AujourleJour-539.html</x:v>
      </x:c>
      <x:c r="N188" s="10" t="str">
        <x:v>Présence havraise documentée.</x:v>
      </x:c>
    </x:row>
    <x:row r="189">
      <x:c r="A189" s="10" t="str">
        <x:v>Ocean Network Express (ONE)</x:v>
      </x:c>
      <x:c r="B189" s="10" t="str">
        <x:v>Référentiel V4</x:v>
      </x:c>
      <x:c r="C189" s="10" t="str">
        <x:v>EU-A</x:v>
      </x:c>
      <x:c r="D189" s="10" t="str">
        <x:v>Ocean Network Express (ONE)</x:v>
      </x:c>
      <x:c r="E189" s="10" t="str">
        <x:v>ONE</x:v>
      </x:c>
      <x:c r="F189" s="10" t="str">
        <x:v>ONE ALTAIR</x:v>
      </x:c>
      <x:c r="G189" s="10" t="str"/>
      <x:c r="H189" s="10" t="str">
        <x:v>2026-09</x:v>
      </x:c>
      <x:c r="I189" s="10" t="n">
        <x:v>2026</x:v>
      </x:c>
      <x:c r="J189" s="10" t="str">
        <x:v>Premier / service ONE</x:v>
      </x:c>
      <x:c r="K189" s="10" t="str">
        <x:v>Le Havre</x:v>
      </x:c>
      <x:c r="L189" s="10" t="str">
        <x:v>A2</x:v>
      </x:c>
      <x:c r="M189" s="10" t="str">
        <x:v>https://www.marinetraffic.com/</x:v>
      </x:c>
      <x:c r="N189" s="10" t="str">
        <x:v>MarineTraffic : présence récente au Havre repérée lors du relevé.</x:v>
      </x:c>
    </x:row>
    <x:row r="190">
      <x:c r="A190" s="10" t="str">
        <x:v>Ocean Network Express (ONE)</x:v>
      </x:c>
      <x:c r="B190" s="10" t="str">
        <x:v>Référentiel V4</x:v>
      </x:c>
      <x:c r="C190" s="10" t="str">
        <x:v>EU-A</x:v>
      </x:c>
      <x:c r="D190" s="10" t="str">
        <x:v>Ocean Network Express (ONE)</x:v>
      </x:c>
      <x:c r="E190" s="10" t="str">
        <x:v>ONE</x:v>
      </x:c>
      <x:c r="F190" s="10" t="str">
        <x:v>ONE HAMBURG</x:v>
      </x:c>
      <x:c r="G190" s="10" t="str"/>
      <x:c r="H190" s="10" t="str">
        <x:v>2024-03-31</x:v>
      </x:c>
      <x:c r="I190" s="10" t="n">
        <x:v>2024</x:v>
      </x:c>
      <x:c r="J190" s="10" t="str">
        <x:v>THE Alliance</x:v>
      </x:c>
      <x:c r="K190" s="10" t="str">
        <x:v>Le Havre</x:v>
      </x:c>
      <x:c r="L190" s="10" t="str">
        <x:v>B1</x:v>
      </x:c>
      <x:c r="M190" s="10" t="str">
        <x:v>https://www.hapag-lloyd.com/fr/services-information/news/2023/12/here-s-a-live-ticker-on-the-red-sea-and-suez-canal-situation.html</x:v>
      </x:c>
      <x:c r="N190" s="10" t="str">
        <x:v>Ticker officiel Hapag-Lloyd / THE Alliance.</x:v>
      </x:c>
    </x:row>
    <x:row r="191">
      <x:c r="A191" s="10" t="str">
        <x:v>Ocean Network Express (ONE)</x:v>
      </x:c>
      <x:c r="B191" s="10" t="str">
        <x:v>Référentiel V4</x:v>
      </x:c>
      <x:c r="C191" s="10" t="str">
        <x:v>EU-A</x:v>
      </x:c>
      <x:c r="D191" s="10" t="str">
        <x:v>Ocean Network Express (ONE)</x:v>
      </x:c>
      <x:c r="E191" s="10" t="str">
        <x:v>ONE</x:v>
      </x:c>
      <x:c r="F191" s="10" t="str">
        <x:v>ONE HAMMERSMITH</x:v>
      </x:c>
      <x:c r="G191" s="10" t="str"/>
      <x:c r="H191" s="10" t="str">
        <x:v>2024-05</x:v>
      </x:c>
      <x:c r="I191" s="10" t="n">
        <x:v>2024</x:v>
      </x:c>
      <x:c r="J191" s="10" t="str">
        <x:v>THE Alliance</x:v>
      </x:c>
      <x:c r="K191" s="10" t="str">
        <x:v>Le Havre</x:v>
      </x:c>
      <x:c r="L191" s="10" t="str">
        <x:v>C</x:v>
      </x:c>
      <x:c r="M191" s="10" t="str">
        <x:v>https://www.marine-marchande.net/Jourlejour4/AujourleJour-537.html</x:v>
      </x:c>
      <x:c r="N191" s="10" t="str">
        <x:v>Présence havraise documentée.</x:v>
      </x:c>
    </x:row>
    <x:row r="192">
      <x:c r="A192" s="10" t="str">
        <x:v>Ocean Network Express (ONE)</x:v>
      </x:c>
      <x:c r="B192" s="10" t="str">
        <x:v>Référentiel V4</x:v>
      </x:c>
      <x:c r="C192" s="10" t="str">
        <x:v>EU-A</x:v>
      </x:c>
      <x:c r="D192" s="10" t="str">
        <x:v>Ocean Network Express (ONE)</x:v>
      </x:c>
      <x:c r="E192" s="10" t="str">
        <x:v>ONE</x:v>
      </x:c>
      <x:c r="F192" s="10" t="str">
        <x:v>ONE HANNOVER</x:v>
      </x:c>
      <x:c r="G192" s="10" t="str"/>
      <x:c r="H192" s="10" t="str">
        <x:v>2024-03-22</x:v>
      </x:c>
      <x:c r="I192" s="10" t="n">
        <x:v>2024</x:v>
      </x:c>
      <x:c r="J192" s="10" t="str">
        <x:v>THE Alliance</x:v>
      </x:c>
      <x:c r="K192" s="10" t="str">
        <x:v>Le Havre</x:v>
      </x:c>
      <x:c r="L192" s="10" t="str">
        <x:v>B1</x:v>
      </x:c>
      <x:c r="M192" s="10" t="str">
        <x:v>https://www.hapag-lloyd.com/fr/services-information/news/2023/12/here-s-a-live-ticker-on-the-red-sea-and-suez-canal-situation.html</x:v>
      </x:c>
      <x:c r="N192" s="10" t="str">
        <x:v>Ticker officiel Hapag-Lloyd / THE Alliance.</x:v>
      </x:c>
    </x:row>
    <x:row r="193">
      <x:c r="A193" s="10" t="str">
        <x:v>Ocean Network Express (ONE)</x:v>
      </x:c>
      <x:c r="B193" s="10" t="str">
        <x:v>Référentiel V4</x:v>
      </x:c>
      <x:c r="C193" s="10" t="str">
        <x:v>EU-A</x:v>
      </x:c>
      <x:c r="D193" s="10" t="str">
        <x:v>Ocean Network Express (ONE)</x:v>
      </x:c>
      <x:c r="E193" s="10" t="str">
        <x:v>ONE</x:v>
      </x:c>
      <x:c r="F193" s="10" t="str">
        <x:v>ONE HANOI</x:v>
      </x:c>
      <x:c r="G193" s="10" t="str"/>
      <x:c r="H193" s="10" t="str">
        <x:v>2024-06-18</x:v>
      </x:c>
      <x:c r="I193" s="10" t="n">
        <x:v>2024</x:v>
      </x:c>
      <x:c r="J193" s="10" t="str">
        <x:v>THE Alliance</x:v>
      </x:c>
      <x:c r="K193" s="10" t="str">
        <x:v>Le Havre</x:v>
      </x:c>
      <x:c r="L193" s="10" t="str">
        <x:v>C</x:v>
      </x:c>
      <x:c r="M193" s="10" t="str">
        <x:v>https://www.ntl-naigai.co.jp/en/transport/pdf/Le%20Havre_en_202406.pdf</x:v>
      </x:c>
      <x:c r="N193" s="10" t="str">
        <x:v>Schedule commercial export Le Havre.</x:v>
      </x:c>
    </x:row>
    <x:row r="194">
      <x:c r="A194" s="10" t="str">
        <x:v>Ocean Network Express (ONE)</x:v>
      </x:c>
      <x:c r="B194" s="10" t="str">
        <x:v>Référentiel V4</x:v>
      </x:c>
      <x:c r="C194" s="10" t="str">
        <x:v>EU-A</x:v>
      </x:c>
      <x:c r="D194" s="10" t="str">
        <x:v>Ocean Network Express (ONE)</x:v>
      </x:c>
      <x:c r="E194" s="10" t="str">
        <x:v>ONE</x:v>
      </x:c>
      <x:c r="F194" s="10" t="str">
        <x:v>ONE HARBOUR</x:v>
      </x:c>
      <x:c r="G194" s="10" t="str"/>
      <x:c r="H194" s="10" t="str">
        <x:v>2024-08-29</x:v>
      </x:c>
      <x:c r="I194" s="10" t="n">
        <x:v>2024</x:v>
      </x:c>
      <x:c r="J194" s="10" t="str">
        <x:v>THE Alliance</x:v>
      </x:c>
      <x:c r="K194" s="10" t="str">
        <x:v>Le Havre</x:v>
      </x:c>
      <x:c r="L194" s="10" t="str">
        <x:v>C</x:v>
      </x:c>
      <x:c r="M194" s="10" t="str">
        <x:v>https://www.scribd.com/document/754984822/SCHEDULES-LE-HAVRE-BUSAN-AOUT-2024</x:v>
      </x:c>
      <x:c r="N194" s="10" t="str">
        <x:v>Schedule commercial Le Havre–Busan.</x:v>
      </x:c>
    </x:row>
    <x:row r="195">
      <x:c r="A195" s="10" t="str">
        <x:v>Ocean Network Express (ONE)</x:v>
      </x:c>
      <x:c r="B195" s="10" t="str">
        <x:v>Référentiel V4</x:v>
      </x:c>
      <x:c r="C195" s="10" t="str">
        <x:v>EU-A</x:v>
      </x:c>
      <x:c r="D195" s="10" t="str">
        <x:v>Ocean Network Express (ONE)</x:v>
      </x:c>
      <x:c r="E195" s="10" t="str">
        <x:v>ONE</x:v>
      </x:c>
      <x:c r="F195" s="10" t="str">
        <x:v>ONE HELSINKI</x:v>
      </x:c>
      <x:c r="G195" s="10" t="str"/>
      <x:c r="H195" s="10" t="str">
        <x:v>2024-09-07</x:v>
      </x:c>
      <x:c r="I195" s="10" t="n">
        <x:v>2024</x:v>
      </x:c>
      <x:c r="J195" s="10" t="str">
        <x:v>THE Alliance</x:v>
      </x:c>
      <x:c r="K195" s="10" t="str">
        <x:v>Le Havre</x:v>
      </x:c>
      <x:c r="L195" s="10" t="str">
        <x:v>C</x:v>
      </x:c>
      <x:c r="M195" s="10" t="str">
        <x:v>https://www.scribd.com/document/754984822/SCHEDULES-LE-HAVRE-BUSAN-AOUT-2024</x:v>
      </x:c>
      <x:c r="N195" s="10" t="str">
        <x:v>Schedule commercial Le Havre–Busan.</x:v>
      </x:c>
    </x:row>
    <x:row r="196">
      <x:c r="A196" s="10" t="str">
        <x:v>Ocean Network Express (ONE)</x:v>
      </x:c>
      <x:c r="B196" s="10" t="str">
        <x:v>Référentiel V4</x:v>
      </x:c>
      <x:c r="C196" s="10" t="str">
        <x:v>EU-A</x:v>
      </x:c>
      <x:c r="D196" s="10" t="str">
        <x:v>Ocean Network Express (ONE)</x:v>
      </x:c>
      <x:c r="E196" s="10" t="str">
        <x:v>ONE</x:v>
      </x:c>
      <x:c r="F196" s="10" t="str">
        <x:v>ONE HENRY HUDSON</x:v>
      </x:c>
      <x:c r="G196" s="10" t="str"/>
      <x:c r="H196" s="10" t="str">
        <x:v>2024-06-07</x:v>
      </x:c>
      <x:c r="I196" s="10" t="n">
        <x:v>2024</x:v>
      </x:c>
      <x:c r="J196" s="10" t="str">
        <x:v>THE Alliance</x:v>
      </x:c>
      <x:c r="K196" s="10" t="str">
        <x:v>Le Havre</x:v>
      </x:c>
      <x:c r="L196" s="10" t="str">
        <x:v>C</x:v>
      </x:c>
      <x:c r="M196" s="10" t="str">
        <x:v>https://www.ntl-naigai.co.jp/en/transport/pdf/Le%20Havre_en_202406.pdf</x:v>
      </x:c>
      <x:c r="N196" s="10" t="str">
        <x:v>Schedule commercial export Le Havre.</x:v>
      </x:c>
    </x:row>
    <x:row r="197">
      <x:c r="A197" s="10" t="str">
        <x:v>Ocean Network Express (ONE)</x:v>
      </x:c>
      <x:c r="B197" s="10" t="str">
        <x:v>Référentiel V4</x:v>
      </x:c>
      <x:c r="C197" s="10" t="str">
        <x:v>EU-A</x:v>
      </x:c>
      <x:c r="D197" s="10" t="str">
        <x:v>Ocean Network Express (ONE)</x:v>
      </x:c>
      <x:c r="E197" s="10" t="str">
        <x:v>ONE</x:v>
      </x:c>
      <x:c r="F197" s="10" t="str">
        <x:v>ONE HONOLULU</x:v>
      </x:c>
      <x:c r="G197" s="10" t="str"/>
      <x:c r="H197" s="10" t="str">
        <x:v>2024-02-23</x:v>
      </x:c>
      <x:c r="I197" s="10" t="n">
        <x:v>2024</x:v>
      </x:c>
      <x:c r="J197" s="10" t="str">
        <x:v>THE Alliance</x:v>
      </x:c>
      <x:c r="K197" s="10" t="str">
        <x:v>Le Havre</x:v>
      </x:c>
      <x:c r="L197" s="10" t="str">
        <x:v>B1</x:v>
      </x:c>
      <x:c r="M197" s="10" t="str">
        <x:v>https://www.hapag-lloyd.com/fr/services-information/news/2023/12/here-s-a-live-ticker-on-the-red-sea-and-suez-canal-situation.html</x:v>
      </x:c>
      <x:c r="N197" s="10" t="str">
        <x:v>Ticker officiel Hapag-Lloyd / THE Alliance.</x:v>
      </x:c>
    </x:row>
    <x:row r="198">
      <x:c r="A198" s="10" t="str">
        <x:v>Ocean Network Express (ONE)</x:v>
      </x:c>
      <x:c r="B198" s="10" t="str">
        <x:v>Référentiel V4</x:v>
      </x:c>
      <x:c r="C198" s="10" t="str">
        <x:v>EU-A</x:v>
      </x:c>
      <x:c r="D198" s="10" t="str">
        <x:v>Ocean Network Express (ONE)</x:v>
      </x:c>
      <x:c r="E198" s="10" t="str">
        <x:v>ONE</x:v>
      </x:c>
      <x:c r="F198" s="10" t="str">
        <x:v>ONE HOUSTON</x:v>
      </x:c>
      <x:c r="G198" s="10" t="str">
        <x:v>9566382</x:v>
      </x:c>
      <x:c r="H198" s="10" t="str">
        <x:v>2023-09-08</x:v>
      </x:c>
      <x:c r="I198" s="10" t="n">
        <x:v>2023</x:v>
      </x:c>
      <x:c r="J198" s="10" t="str">
        <x:v>THE Alliance</x:v>
      </x:c>
      <x:c r="K198" s="10" t="str">
        <x:v>Le Havre</x:v>
      </x:c>
      <x:c r="L198" s="10" t="str">
        <x:v>C</x:v>
      </x:c>
      <x:c r="M198" s="10" t="str">
        <x:v>https://www.marine-marchande.net/Jourlejour4/AujourleJour-528.html</x:v>
      </x:c>
      <x:c r="N198" s="10" t="str">
        <x:v>Observation portuaire datée.</x:v>
      </x:c>
    </x:row>
    <x:row r="199">
      <x:c r="A199" s="10" t="str">
        <x:v>Ocean Network Express (ONE)</x:v>
      </x:c>
      <x:c r="B199" s="10" t="str">
        <x:v>Référentiel V4</x:v>
      </x:c>
      <x:c r="C199" s="10" t="str">
        <x:v>EU-A</x:v>
      </x:c>
      <x:c r="D199" s="10" t="str">
        <x:v>Ocean Network Express (ONE)</x:v>
      </x:c>
      <x:c r="E199" s="10" t="str">
        <x:v>ONE</x:v>
      </x:c>
      <x:c r="F199" s="10" t="str">
        <x:v>ONE HUMBER</x:v>
      </x:c>
      <x:c r="G199" s="10" t="str"/>
      <x:c r="H199" s="10" t="str">
        <x:v>2024-01-06</x:v>
      </x:c>
      <x:c r="I199" s="10" t="n">
        <x:v>2024</x:v>
      </x:c>
      <x:c r="J199" s="10" t="str">
        <x:v>THE Alliance</x:v>
      </x:c>
      <x:c r="K199" s="10" t="str">
        <x:v>Le Havre</x:v>
      </x:c>
      <x:c r="L199" s="10" t="str">
        <x:v>B1</x:v>
      </x:c>
      <x:c r="M199" s="10" t="str">
        <x:v>https://ch.one-line.com/sites/g/files/lnzjqr2191/files/schedules/2024-11/VSL-Schedule-Dec-2024.pdf</x:v>
      </x:c>
      <x:c r="N199" s="10" t="str">
        <x:v>Schedule officiel ONE.</x:v>
      </x:c>
    </x:row>
    <x:row r="200">
      <x:c r="A200" s="10" t="str">
        <x:v>Ocean Network Express (ONE)</x:v>
      </x:c>
      <x:c r="B200" s="10" t="str">
        <x:v>Référentiel V4</x:v>
      </x:c>
      <x:c r="C200" s="10" t="str">
        <x:v>EU-A</x:v>
      </x:c>
      <x:c r="D200" s="10" t="str">
        <x:v>Ocean Network Express (ONE)</x:v>
      </x:c>
      <x:c r="E200" s="10" t="str">
        <x:v>ONE</x:v>
      </x:c>
      <x:c r="F200" s="10" t="str">
        <x:v>ONE HUMEN</x:v>
      </x:c>
      <x:c r="G200" s="10" t="str"/>
      <x:c r="H200" s="10" t="str">
        <x:v>2025-06-13</x:v>
      </x:c>
      <x:c r="I200" s="10" t="n">
        <x:v>2025</x:v>
      </x:c>
      <x:c r="J200" s="10" t="str">
        <x:v>Premier / service ONE</x:v>
      </x:c>
      <x:c r="K200" s="10" t="str">
        <x:v>Port 2000</x:v>
      </x:c>
      <x:c r="L200" s="10" t="str">
        <x:v>C</x:v>
      </x:c>
      <x:c r="M200" s="10" t="str">
        <x:v>https://www.marine-marchande.net/Jourlejour4/AujourleJour-550.html</x:v>
      </x:c>
      <x:c r="N200" s="10" t="str">
        <x:v>Observation portuaire datée.</x:v>
      </x:c>
    </x:row>
    <x:row r="201">
      <x:c r="A201" s="10" t="str">
        <x:v>Ocean Network Express (ONE)</x:v>
      </x:c>
      <x:c r="B201" s="10" t="str">
        <x:v>Référentiel V4</x:v>
      </x:c>
      <x:c r="C201" s="10" t="str">
        <x:v>EU-A</x:v>
      </x:c>
      <x:c r="D201" s="10" t="str">
        <x:v>Ocean Network Express (ONE)</x:v>
      </x:c>
      <x:c r="E201" s="10" t="str">
        <x:v>ONE</x:v>
      </x:c>
      <x:c r="F201" s="10" t="str">
        <x:v>ONE INFINITY</x:v>
      </x:c>
      <x:c r="G201" s="10" t="str">
        <x:v>9933004</x:v>
      </x:c>
      <x:c r="H201" s="10" t="str">
        <x:v>2026-03</x:v>
      </x:c>
      <x:c r="I201" s="10" t="n">
        <x:v>2026</x:v>
      </x:c>
      <x:c r="J201" s="10" t="str">
        <x:v>Premier / service ONE</x:v>
      </x:c>
      <x:c r="K201" s="10" t="str">
        <x:v>Le Havre</x:v>
      </x:c>
      <x:c r="L201" s="10" t="str">
        <x:v>A2</x:v>
      </x:c>
      <x:c r="M201" s="10" t="str">
        <x:v>https://www.vesselfinder.com/vessels/details/9933004</x:v>
      </x:c>
      <x:c r="N201" s="10" t="str">
        <x:v>VesselFinder : présence/escale Le Havre documentée.</x:v>
      </x:c>
    </x:row>
    <x:row r="202">
      <x:c r="A202" s="10" t="str">
        <x:v>Ocean Network Express (ONE)</x:v>
      </x:c>
      <x:c r="B202" s="10" t="str">
        <x:v>Référentiel V4</x:v>
      </x:c>
      <x:c r="C202" s="10" t="str">
        <x:v>EU-A</x:v>
      </x:c>
      <x:c r="D202" s="10" t="str">
        <x:v>Ocean Network Express (ONE)</x:v>
      </x:c>
      <x:c r="E202" s="10" t="str">
        <x:v>ONE</x:v>
      </x:c>
      <x:c r="F202" s="10" t="str">
        <x:v>ONE INNOVATION</x:v>
      </x:c>
      <x:c r="G202" s="10" t="str"/>
      <x:c r="H202" s="10" t="str">
        <x:v>2025-05-26</x:v>
      </x:c>
      <x:c r="I202" s="10" t="n">
        <x:v>2025</x:v>
      </x:c>
      <x:c r="J202" s="10" t="str">
        <x:v>FE4 / Premier Alliance</x:v>
      </x:c>
      <x:c r="K202" s="10" t="str">
        <x:v>Terminal de France</x:v>
      </x:c>
      <x:c r="L202" s="10" t="str">
        <x:v>B1</x:v>
      </x:c>
      <x:c r="M202" s="10" t="str">
        <x:v>https://ch.one-line.com/sites/g/files/lnzjqr2191/files/schedules/2025-05/Europe%20Schedule.pdf</x:v>
      </x:c>
      <x:c r="N202" s="10" t="str">
        <x:v>Schedule officiel ONE.</x:v>
      </x:c>
    </x:row>
    <x:row r="203">
      <x:c r="A203" s="10" t="str">
        <x:v>Ocean Network Express (ONE)</x:v>
      </x:c>
      <x:c r="B203" s="10" t="str">
        <x:v>Référentiel V4</x:v>
      </x:c>
      <x:c r="C203" s="10" t="str">
        <x:v>EU-A</x:v>
      </x:c>
      <x:c r="D203" s="10" t="str">
        <x:v>Ocean Network Express (ONE)</x:v>
      </x:c>
      <x:c r="E203" s="10" t="str">
        <x:v>ONE</x:v>
      </x:c>
      <x:c r="F203" s="10" t="str">
        <x:v>ONE INSPIRATION</x:v>
      </x:c>
      <x:c r="G203" s="10" t="str"/>
      <x:c r="H203" s="10" t="str">
        <x:v>2025-07-07</x:v>
      </x:c>
      <x:c r="I203" s="10" t="n">
        <x:v>2025</x:v>
      </x:c>
      <x:c r="J203" s="10" t="str">
        <x:v>Premier / service ONE</x:v>
      </x:c>
      <x:c r="K203" s="10" t="str">
        <x:v>Le Havre</x:v>
      </x:c>
      <x:c r="L203" s="10" t="str">
        <x:v>B1</x:v>
      </x:c>
      <x:c r="M203" s="10" t="str">
        <x:v>https://www.ecuworldwide.co.jp/files/VN_Schedule_0501-0630.pdf?hash=8f48a37c294852fb2738253b1e1f0f08&amp;inline=1</x:v>
      </x:c>
      <x:c r="N203" s="10" t="str">
        <x:v>Schedule partenaire de ligne.</x:v>
      </x:c>
    </x:row>
    <x:row r="204">
      <x:c r="A204" s="10" t="str">
        <x:v>Ocean Network Express (ONE)</x:v>
      </x:c>
      <x:c r="B204" s="10" t="str">
        <x:v>Référentiel V4</x:v>
      </x:c>
      <x:c r="C204" s="10" t="str">
        <x:v>EU-A</x:v>
      </x:c>
      <x:c r="D204" s="10" t="str">
        <x:v>Ocean Network Express (ONE)</x:v>
      </x:c>
      <x:c r="E204" s="10" t="str">
        <x:v>ONE</x:v>
      </x:c>
      <x:c r="F204" s="10" t="str">
        <x:v>ONE INTEGRITY</x:v>
      </x:c>
      <x:c r="G204" s="10" t="str"/>
      <x:c r="H204" s="10" t="str">
        <x:v>2025-05-13</x:v>
      </x:c>
      <x:c r="I204" s="10" t="n">
        <x:v>2025</x:v>
      </x:c>
      <x:c r="J204" s="10" t="str">
        <x:v>FE4 / Premier Alliance</x:v>
      </x:c>
      <x:c r="K204" s="10" t="str">
        <x:v>Terminal de France</x:v>
      </x:c>
      <x:c r="L204" s="10" t="str">
        <x:v>A1</x:v>
      </x:c>
      <x:c r="M204" s="10" t="str">
        <x:v>https://www.haropaport.com/fr/actualites/le-havre-accueille-le-one-integrity-une-escale-inaugurale-xxl-pour-haropa-port</x:v>
      </x:c>
      <x:c r="N204" s="10" t="str">
        <x:v>Escale inaugurale officielle.</x:v>
      </x:c>
    </x:row>
    <x:row r="205">
      <x:c r="A205" s="10" t="str">
        <x:v>Ocean Network Express (ONE)</x:v>
      </x:c>
      <x:c r="B205" s="10" t="str">
        <x:v>Référentiel V4</x:v>
      </x:c>
      <x:c r="C205" s="10" t="str">
        <x:v>EU-A</x:v>
      </x:c>
      <x:c r="D205" s="10" t="str">
        <x:v>Ocean Network Express (ONE)</x:v>
      </x:c>
      <x:c r="E205" s="10" t="str">
        <x:v>ONE</x:v>
      </x:c>
      <x:c r="F205" s="10" t="str">
        <x:v>ONE INTELLIGENCE</x:v>
      </x:c>
      <x:c r="G205" s="10" t="str">
        <x:v>9933121</x:v>
      </x:c>
      <x:c r="H205" s="10" t="str">
        <x:v>2026-08-22</x:v>
      </x:c>
      <x:c r="I205" s="10" t="n">
        <x:v>2026</x:v>
      </x:c>
      <x:c r="J205" s="10" t="str">
        <x:v>Premier / service ONE</x:v>
      </x:c>
      <x:c r="K205" s="10" t="str">
        <x:v>Le Havre</x:v>
      </x:c>
      <x:c r="L205" s="10" t="str">
        <x:v>A2</x:v>
      </x:c>
      <x:c r="M205" s="10" t="str">
        <x:v>https://www.vesselfinder.com/vessels/details/9933121</x:v>
      </x:c>
      <x:c r="N205" s="10" t="str">
        <x:v>VesselFinder : dernier port Le Havre / départ documenté.</x:v>
      </x:c>
    </x:row>
    <x:row r="206">
      <x:c r="A206" s="10" t="str">
        <x:v>Ocean Network Express (ONE)</x:v>
      </x:c>
      <x:c r="B206" s="10" t="str">
        <x:v>Référentiel V4</x:v>
      </x:c>
      <x:c r="C206" s="10" t="str">
        <x:v>EU-A</x:v>
      </x:c>
      <x:c r="D206" s="10" t="str">
        <x:v>Ocean Network Express (ONE)</x:v>
      </x:c>
      <x:c r="E206" s="10" t="str">
        <x:v>ONE</x:v>
      </x:c>
      <x:c r="F206" s="10" t="str">
        <x:v>ONE MARVEL</x:v>
      </x:c>
      <x:c r="G206" s="10" t="str"/>
      <x:c r="H206" s="10" t="str">
        <x:v>2024-03-01</x:v>
      </x:c>
      <x:c r="I206" s="10" t="n">
        <x:v>2024</x:v>
      </x:c>
      <x:c r="J206" s="10" t="str">
        <x:v>THE Alliance</x:v>
      </x:c>
      <x:c r="K206" s="10" t="str">
        <x:v>Le Havre</x:v>
      </x:c>
      <x:c r="L206" s="10" t="str">
        <x:v>B1</x:v>
      </x:c>
      <x:c r="M206" s="10" t="str">
        <x:v>https://www.hapag-lloyd.com/fr/services-information/news/2023/12/here-s-a-live-ticker-on-the-red-sea-and-suez-canal-situation.html</x:v>
      </x:c>
      <x:c r="N206" s="10" t="str">
        <x:v>Ticker officiel Hapag-Lloyd / THE Alliance.</x:v>
      </x:c>
    </x:row>
    <x:row r="207">
      <x:c r="A207" s="10" t="str">
        <x:v>Ocean Network Express (ONE)</x:v>
      </x:c>
      <x:c r="B207" s="10" t="str">
        <x:v>Référentiel V4</x:v>
      </x:c>
      <x:c r="C207" s="10" t="str">
        <x:v>EU-A</x:v>
      </x:c>
      <x:c r="D207" s="10" t="str">
        <x:v>Ocean Network Express (ONE)</x:v>
      </x:c>
      <x:c r="E207" s="10" t="str">
        <x:v>ONE</x:v>
      </x:c>
      <x:c r="F207" s="10" t="str">
        <x:v>ONE OLYMPUS</x:v>
      </x:c>
      <x:c r="G207" s="10" t="str"/>
      <x:c r="H207" s="10" t="str">
        <x:v>2024-04-08</x:v>
      </x:c>
      <x:c r="I207" s="10" t="n">
        <x:v>2024</x:v>
      </x:c>
      <x:c r="J207" s="10" t="str">
        <x:v>THE Alliance</x:v>
      </x:c>
      <x:c r="K207" s="10" t="str">
        <x:v>Le Havre</x:v>
      </x:c>
      <x:c r="L207" s="10" t="str">
        <x:v>B1</x:v>
      </x:c>
      <x:c r="M207" s="10" t="str">
        <x:v>https://www.hapag-lloyd.com/fr/services-information/news/2023/12/here-s-a-live-ticker-on-the-red-sea-and-suez-canal-situation.html</x:v>
      </x:c>
      <x:c r="N207" s="10" t="str">
        <x:v>Ticker officiel Hapag-Lloyd / THE Alliance.</x:v>
      </x:c>
    </x:row>
    <x:row r="208">
      <x:c r="A208" s="10" t="str">
        <x:v>Ocean Network Express (ONE)</x:v>
      </x:c>
      <x:c r="B208" s="10" t="str">
        <x:v>Référentiel V4</x:v>
      </x:c>
      <x:c r="C208" s="10" t="str">
        <x:v>EU-A</x:v>
      </x:c>
      <x:c r="D208" s="10" t="str">
        <x:v>Ocean Network Express (ONE)</x:v>
      </x:c>
      <x:c r="E208" s="10" t="str">
        <x:v>ONE</x:v>
      </x:c>
      <x:c r="F208" s="10" t="str">
        <x:v>ONE TRADITION</x:v>
      </x:c>
      <x:c r="G208" s="10" t="str">
        <x:v>9769300</x:v>
      </x:c>
      <x:c r="H208" s="10" t="str">
        <x:v>2026-07-16</x:v>
      </x:c>
      <x:c r="I208" s="10" t="n">
        <x:v>2026</x:v>
      </x:c>
      <x:c r="J208" s="10" t="str">
        <x:v>Premier / service ONE</x:v>
      </x:c>
      <x:c r="K208" s="10" t="str">
        <x:v>Le Havre</x:v>
      </x:c>
      <x:c r="L208" s="10" t="str">
        <x:v>A2</x:v>
      </x:c>
      <x:c r="M208" s="10" t="str">
        <x:v>https://www.vesselfinder.com/vessels/details/9769300</x:v>
      </x:c>
      <x:c r="N208" s="10" t="str">
        <x:v>VesselFinder : dernier port Le Havre / départ documenté.</x:v>
      </x:c>
    </x:row>
    <x:row r="209">
      <x:c r="A209" s="10" t="str">
        <x:v>Ocean Network Express (ONE)</x:v>
      </x:c>
      <x:c r="B209" s="10" t="str">
        <x:v>Référentiel V4</x:v>
      </x:c>
      <x:c r="C209" s="10" t="str">
        <x:v>EU-A</x:v>
      </x:c>
      <x:c r="D209" s="10" t="str">
        <x:v>Ocean Network Express (ONE)</x:v>
      </x:c>
      <x:c r="E209" s="10" t="str">
        <x:v>ONE</x:v>
      </x:c>
      <x:c r="F209" s="10" t="str">
        <x:v>ONE TREASURE</x:v>
      </x:c>
      <x:c r="G209" s="10" t="str">
        <x:v>9773222</x:v>
      </x:c>
      <x:c r="H209" s="10" t="str">
        <x:v>2025-01-31</x:v>
      </x:c>
      <x:c r="I209" s="10" t="n">
        <x:v>2025</x:v>
      </x:c>
      <x:c r="J209" s="10" t="str">
        <x:v>THE/Premier transition</x:v>
      </x:c>
      <x:c r="K209" s="10" t="str">
        <x:v>Le Havre</x:v>
      </x:c>
      <x:c r="L209" s="10" t="str">
        <x:v>B1</x:v>
      </x:c>
      <x:c r="M209" s="10" t="str">
        <x:v>https://ch.one-line.com/sites/g/files/lnzjqr2191/files/schedules/2024-11/VSL-Schedule-Dec-2024.pdf</x:v>
      </x:c>
      <x:c r="N209" s="10" t="str">
        <x:v>Schedule officiel ONE ; VesselFinder confirme aussi une escale le 09/08/2026.</x:v>
      </x:c>
    </x:row>
    <x:row r="210">
      <x:c r="A210" s="10" t="str">
        <x:v>Ocean Network Express (ONE)</x:v>
      </x:c>
      <x:c r="B210" s="10" t="str">
        <x:v>Référentiel V4</x:v>
      </x:c>
      <x:c r="C210" s="10" t="str">
        <x:v>EU-A</x:v>
      </x:c>
      <x:c r="D210" s="10" t="str">
        <x:v>Ocean Network Express (ONE)</x:v>
      </x:c>
      <x:c r="E210" s="10" t="str">
        <x:v>ONE</x:v>
      </x:c>
      <x:c r="F210" s="10" t="str">
        <x:v>ONE TRIBUTE</x:v>
      </x:c>
      <x:c r="G210" s="10" t="str"/>
      <x:c r="H210" s="10" t="str">
        <x:v>2023-08-22</x:v>
      </x:c>
      <x:c r="I210" s="10" t="n">
        <x:v>2023</x:v>
      </x:c>
      <x:c r="J210" s="10" t="str">
        <x:v>THE Alliance</x:v>
      </x:c>
      <x:c r="K210" s="10" t="str">
        <x:v>Le Havre</x:v>
      </x:c>
      <x:c r="L210" s="10" t="str">
        <x:v>B1</x:v>
      </x:c>
      <x:c r="M210" s="10" t="str">
        <x:v>https://ch.one-line.com/sites/g/files/lnzjqr2191/files/schedules/2023-08/Europe%20Schedule.pdf</x:v>
      </x:c>
      <x:c r="N210" s="10" t="str">
        <x:v>Schedule officiel ONE.</x:v>
      </x:c>
    </x:row>
    <x:row r="211">
      <x:c r="A211" s="10" t="str">
        <x:v>Ocean Network Express (ONE)</x:v>
      </x:c>
      <x:c r="B211" s="10" t="str">
        <x:v>Référentiel V4</x:v>
      </x:c>
      <x:c r="C211" s="10" t="str">
        <x:v>EU-A</x:v>
      </x:c>
      <x:c r="D211" s="10" t="str">
        <x:v>Ocean Network Express (ONE)</x:v>
      </x:c>
      <x:c r="E211" s="10" t="str">
        <x:v>ONE</x:v>
      </x:c>
      <x:c r="F211" s="10" t="str">
        <x:v>ONE TRIUMPH</x:v>
      </x:c>
      <x:c r="G211" s="10" t="str"/>
      <x:c r="H211" s="10" t="str">
        <x:v>2023-08-03</x:v>
      </x:c>
      <x:c r="I211" s="10" t="n">
        <x:v>2023</x:v>
      </x:c>
      <x:c r="J211" s="10" t="str">
        <x:v>THE Alliance</x:v>
      </x:c>
      <x:c r="K211" s="10" t="str">
        <x:v>Le Havre</x:v>
      </x:c>
      <x:c r="L211" s="10" t="str">
        <x:v>B1</x:v>
      </x:c>
      <x:c r="M211" s="10" t="str">
        <x:v>https://ch.one-line.com/sites/g/files/lnzjqr2191/files/schedules/2023-07/Europe%20Schedule.pdf</x:v>
      </x:c>
      <x:c r="N211" s="10" t="str">
        <x:v>Schedule officiel ONE.</x:v>
      </x:c>
    </x:row>
    <x:row r="212">
      <x:c r="A212" s="10" t="str">
        <x:v>Ocean Network Express (ONE)</x:v>
      </x:c>
      <x:c r="B212" s="10" t="str">
        <x:v>Référentiel V4</x:v>
      </x:c>
      <x:c r="C212" s="10" t="str">
        <x:v>EU-A</x:v>
      </x:c>
      <x:c r="D212" s="10" t="str">
        <x:v>Ocean Network Express (ONE)</x:v>
      </x:c>
      <x:c r="E212" s="10" t="str">
        <x:v>ONE</x:v>
      </x:c>
      <x:c r="F212" s="10" t="str">
        <x:v>ONE TRUST</x:v>
      </x:c>
      <x:c r="G212" s="10" t="str"/>
      <x:c r="H212" s="10" t="str">
        <x:v>2025-01-05</x:v>
      </x:c>
      <x:c r="I212" s="10" t="n">
        <x:v>2025</x:v>
      </x:c>
      <x:c r="J212" s="10" t="str">
        <x:v>THE Alliance</x:v>
      </x:c>
      <x:c r="K212" s="10" t="str">
        <x:v>Le Havre</x:v>
      </x:c>
      <x:c r="L212" s="10" t="str">
        <x:v>B1</x:v>
      </x:c>
      <x:c r="M212" s="10" t="str">
        <x:v>https://ch.one-line.com/sites/g/files/lnzjqr2191/files/schedules/2024-11/VSL-Schedule-Dec-2024.pdf</x:v>
      </x:c>
      <x:c r="N212" s="10" t="str">
        <x:v>Schedule officiel ONE.</x:v>
      </x:c>
    </x:row>
    <x:row r="213">
      <x:c r="A213" s="10" t="str">
        <x:v>Ocean Network Express (ONE)</x:v>
      </x:c>
      <x:c r="B213" s="10" t="str">
        <x:v>Référentiel V4</x:v>
      </x:c>
      <x:c r="C213" s="10" t="str">
        <x:v>EU-A</x:v>
      </x:c>
      <x:c r="D213" s="10" t="str">
        <x:v>Ocean Network Express (ONE)</x:v>
      </x:c>
      <x:c r="E213" s="10" t="str">
        <x:v>ONE</x:v>
      </x:c>
      <x:c r="F213" s="10" t="str">
        <x:v>ONE TRUTH</x:v>
      </x:c>
      <x:c r="G213" s="10" t="str">
        <x:v>9773210</x:v>
      </x:c>
      <x:c r="H213" s="10" t="str">
        <x:v>2026-09-05</x:v>
      </x:c>
      <x:c r="I213" s="10" t="n">
        <x:v>2026</x:v>
      </x:c>
      <x:c r="J213" s="10" t="str">
        <x:v>Premier / service ONE</x:v>
      </x:c>
      <x:c r="K213" s="10" t="str">
        <x:v>Le Havre</x:v>
      </x:c>
      <x:c r="L213" s="10" t="str">
        <x:v>A2</x:v>
      </x:c>
      <x:c r="M213" s="10" t="str">
        <x:v>https://www.vesselfinder.com/vessels/details/9773210</x:v>
      </x:c>
      <x:c r="N213" s="10" t="str">
        <x:v>VesselFinder : dernier port Le Havre / départ documenté.</x:v>
      </x:c>
    </x:row>
    <x:row r="214">
      <x:c r="A214" s="10" t="str">
        <x:v>Ocean Network Express (ONE)</x:v>
      </x:c>
      <x:c r="B214" s="10" t="str">
        <x:v>Référentiel V4</x:v>
      </x:c>
      <x:c r="C214" s="10" t="str">
        <x:v>EU-A</x:v>
      </x:c>
      <x:c r="D214" s="10" t="str">
        <x:v>Ocean Network Express (ONE)</x:v>
      </x:c>
      <x:c r="E214" s="10" t="str">
        <x:v>ONE / MOL</x:v>
      </x:c>
      <x:c r="F214" s="10" t="str">
        <x:v>MOL PROFICIENCY</x:v>
      </x:c>
      <x:c r="G214" s="10" t="str"/>
      <x:c r="H214" s="10" t="str">
        <x:v>2024-06-15</x:v>
      </x:c>
      <x:c r="I214" s="10" t="n">
        <x:v>2024</x:v>
      </x:c>
      <x:c r="J214" s="10" t="str">
        <x:v>THE Alliance</x:v>
      </x:c>
      <x:c r="K214" s="10" t="str">
        <x:v>Terminal de l'Atlantique</x:v>
      </x:c>
      <x:c r="L214" s="10" t="str">
        <x:v>C</x:v>
      </x:c>
      <x:c r="M214" s="10" t="str">
        <x:v>https://www.marine-marchande.net/Jourlejour4/AujourleJour-537.html</x:v>
      </x:c>
      <x:c r="N214" s="10" t="str">
        <x:v>Arrivée de Houston documentée.</x:v>
      </x:c>
    </x:row>
    <x:row r="215">
      <x:c r="A215" s="10" t="str">
        <x:v>Ocean Network Express (ONE)</x:v>
      </x:c>
      <x:c r="B215" s="10" t="str">
        <x:v>Référentiel V4</x:v>
      </x:c>
      <x:c r="C215" s="10" t="str">
        <x:v>EU-A</x:v>
      </x:c>
      <x:c r="D215" s="10" t="str">
        <x:v>Ocean Network Express (ONE)</x:v>
      </x:c>
      <x:c r="E215" s="10" t="str">
        <x:v>ONE / NYK</x:v>
      </x:c>
      <x:c r="F215" s="10" t="str">
        <x:v>NYK DEMETER</x:v>
      </x:c>
      <x:c r="G215" s="10" t="str"/>
      <x:c r="H215" s="10" t="str">
        <x:v>2025-08-27</x:v>
      </x:c>
      <x:c r="I215" s="10" t="n">
        <x:v>2025</x:v>
      </x:c>
      <x:c r="J215" s="10" t="str">
        <x:v>Premier / service ONE</x:v>
      </x:c>
      <x:c r="K215" s="10" t="str">
        <x:v>Le Havre</x:v>
      </x:c>
      <x:c r="L215" s="10" t="str">
        <x:v>C</x:v>
      </x:c>
      <x:c r="M215" s="10" t="str">
        <x:v>https://www.marine-marchande.net/Jourlejour4/AujourleJour-552.html</x:v>
      </x:c>
      <x:c r="N215" s="10" t="str">
        <x:v>Observation portuaire datée.</x:v>
      </x:c>
    </x:row>
    <x:row r="216">
      <x:c r="A216" s="10" t="str">
        <x:v>Ocean Network Express (ONE)</x:v>
      </x:c>
      <x:c r="B216" s="10" t="str">
        <x:v>Référentiel V4</x:v>
      </x:c>
      <x:c r="C216" s="10" t="str">
        <x:v>EU-A</x:v>
      </x:c>
      <x:c r="D216" s="10" t="str">
        <x:v>Ocean Network Express (ONE)</x:v>
      </x:c>
      <x:c r="E216" s="10" t="str">
        <x:v>ONE / NYK</x:v>
      </x:c>
      <x:c r="F216" s="10" t="str">
        <x:v>NYK OCEANUS</x:v>
      </x:c>
      <x:c r="G216" s="10" t="str"/>
      <x:c r="H216" s="10" t="str">
        <x:v>2024-03-18</x:v>
      </x:c>
      <x:c r="I216" s="10" t="n">
        <x:v>2024</x:v>
      </x:c>
      <x:c r="J216" s="10" t="str">
        <x:v>THE Alliance</x:v>
      </x:c>
      <x:c r="K216" s="10" t="str">
        <x:v>Le Havre</x:v>
      </x:c>
      <x:c r="L216" s="10" t="str">
        <x:v>B1</x:v>
      </x:c>
      <x:c r="M216" s="10" t="str">
        <x:v>https://www.hapag-lloyd.com/fr/services-information/news/2023/12/here-s-a-live-ticker-on-the-red-sea-and-suez-canal-situation.html</x:v>
      </x:c>
      <x:c r="N216" s="10" t="str">
        <x:v>Ticker officiel Hapag-Lloyd / THE Alliance.</x:v>
      </x:c>
    </x:row>
    <x:row r="217">
      <x:c r="A217" s="10" t="str">
        <x:v>Ocean Network Express (ONE)</x:v>
      </x:c>
      <x:c r="B217" s="10" t="str">
        <x:v>Référentiel V4</x:v>
      </x:c>
      <x:c r="C217" s="10" t="str">
        <x:v>EU-A</x:v>
      </x:c>
      <x:c r="D217" s="10" t="str">
        <x:v>Ocean Network Express (ONE)</x:v>
      </x:c>
      <x:c r="E217" s="10" t="str">
        <x:v>ONE / NYK</x:v>
      </x:c>
      <x:c r="F217" s="10" t="str">
        <x:v>NYK ORION</x:v>
      </x:c>
      <x:c r="G217" s="10" t="str"/>
      <x:c r="H217" s="10" t="str">
        <x:v>2024-03-25</x:v>
      </x:c>
      <x:c r="I217" s="10" t="n">
        <x:v>2024</x:v>
      </x:c>
      <x:c r="J217" s="10" t="str">
        <x:v>THE Alliance</x:v>
      </x:c>
      <x:c r="K217" s="10" t="str">
        <x:v>Le Havre</x:v>
      </x:c>
      <x:c r="L217" s="10" t="str">
        <x:v>B1</x:v>
      </x:c>
      <x:c r="M217" s="10" t="str">
        <x:v>https://www.hapag-lloyd.com/fr/services-information/news/2023/12/here-s-a-live-ticker-on-the-red-sea-and-suez-canal-situation.html</x:v>
      </x:c>
      <x:c r="N217" s="10" t="str">
        <x:v>Ticker officiel Hapag-Lloyd / THE Alliance.</x:v>
      </x:c>
    </x:row>
    <x:row r="218">
      <x:c r="A218" s="10" t="str">
        <x:v>Ocean Network Express (ONE)</x:v>
      </x:c>
      <x:c r="B218" s="10" t="str">
        <x:v>Référentiel V4</x:v>
      </x:c>
      <x:c r="C218" s="10" t="str">
        <x:v>EU-A</x:v>
      </x:c>
      <x:c r="D218" s="10" t="str">
        <x:v>Ocean Network Express (ONE)</x:v>
      </x:c>
      <x:c r="E218" s="10" t="str">
        <x:v>ONE / NYK</x:v>
      </x:c>
      <x:c r="F218" s="10" t="str">
        <x:v>NYK ROMULUS</x:v>
      </x:c>
      <x:c r="G218" s="10" t="str"/>
      <x:c r="H218" s="10" t="str">
        <x:v>2024-03-14</x:v>
      </x:c>
      <x:c r="I218" s="10" t="n">
        <x:v>2024</x:v>
      </x:c>
      <x:c r="J218" s="10" t="str">
        <x:v>THE Alliance</x:v>
      </x:c>
      <x:c r="K218" s="10" t="str">
        <x:v>Le Havre</x:v>
      </x:c>
      <x:c r="L218" s="10" t="str">
        <x:v>C</x:v>
      </x:c>
      <x:c r="M218" s="10" t="str">
        <x:v>https://www.marine-marchande.net/Jourlejour4/AujourleJour-534.html</x:v>
      </x:c>
      <x:c r="N218" s="10" t="str">
        <x:v>Présence havraise documentée.</x:v>
      </x:c>
    </x:row>
    <x:row r="219">
      <x:c r="A219" s="10" t="str">
        <x:v>Ocean Network Express (ONE)</x:v>
      </x:c>
      <x:c r="B219" s="10" t="str">
        <x:v>Référentiel V4</x:v>
      </x:c>
      <x:c r="C219" s="10" t="str">
        <x:v>EU-A</x:v>
      </x:c>
      <x:c r="D219" s="10" t="str">
        <x:v>Ocean Network Express (ONE)</x:v>
      </x:c>
      <x:c r="E219" s="10" t="str">
        <x:v>ONE / NYK</x:v>
      </x:c>
      <x:c r="F219" s="10" t="str">
        <x:v>NYK VEGA</x:v>
      </x:c>
      <x:c r="G219" s="10" t="str"/>
      <x:c r="H219" s="10" t="str">
        <x:v>2024-09-21</x:v>
      </x:c>
      <x:c r="I219" s="10" t="n">
        <x:v>2024</x:v>
      </x:c>
      <x:c r="J219" s="10" t="str">
        <x:v>THE Alliance</x:v>
      </x:c>
      <x:c r="K219" s="10" t="str">
        <x:v>Le Havre</x:v>
      </x:c>
      <x:c r="L219" s="10" t="str">
        <x:v>C</x:v>
      </x:c>
      <x:c r="M219" s="10" t="str">
        <x:v>https://www.scribd.com/document/754984822/SCHEDULES-LE-HAVRE-BUSAN-AOUT-2024</x:v>
      </x:c>
      <x:c r="N219" s="10" t="str">
        <x:v>Schedule commercial Le Havre–Busan.</x:v>
      </x:c>
    </x:row>
    <x:row r="220">
      <x:c r="A220" s="10" t="str">
        <x:v>Ocean Network Express (ONE)</x:v>
      </x:c>
      <x:c r="B220" s="10" t="str">
        <x:v>Référentiel V4</x:v>
      </x:c>
      <x:c r="C220" s="10" t="str">
        <x:v>EU-A</x:v>
      </x:c>
      <x:c r="D220" s="10" t="str">
        <x:v>Ocean Network Express (ONE)</x:v>
      </x:c>
      <x:c r="E220" s="10" t="str">
        <x:v>ONE / NYK</x:v>
      </x:c>
      <x:c r="F220" s="10" t="str">
        <x:v>NYK VENUS</x:v>
      </x:c>
      <x:c r="G220" s="10" t="str"/>
      <x:c r="H220" s="10" t="str">
        <x:v>2024-06-06</x:v>
      </x:c>
      <x:c r="I220" s="10" t="n">
        <x:v>2024</x:v>
      </x:c>
      <x:c r="J220" s="10" t="str">
        <x:v>THE Alliance</x:v>
      </x:c>
      <x:c r="K220" s="10" t="str">
        <x:v>Le Havre</x:v>
      </x:c>
      <x:c r="L220" s="10" t="str">
        <x:v>C</x:v>
      </x:c>
      <x:c r="M220" s="10" t="str">
        <x:v>https://www.ntl-naigai.co.jp/en/transport/pdf/Le%20Havre_en_202406.pdf</x:v>
      </x:c>
      <x:c r="N220" s="10" t="str">
        <x:v>Schedule commercial export Le Havre.</x:v>
      </x:c>
    </x:row>
    <x:row r="221">
      <x:c r="A221" s="10" t="str">
        <x:v>Ocean Network Express (ONE)</x:v>
      </x:c>
      <x:c r="B221" s="10" t="str">
        <x:v>Référentiel V4</x:v>
      </x:c>
      <x:c r="C221" s="10" t="str">
        <x:v>EU-A</x:v>
      </x:c>
      <x:c r="D221" s="10" t="str">
        <x:v>Ocean Network Express (ONE)</x:v>
      </x:c>
      <x:c r="E221" s="10" t="str">
        <x:v>ONE / NYK</x:v>
      </x:c>
      <x:c r="F221" s="10" t="str">
        <x:v>NYK VIRGO</x:v>
      </x:c>
      <x:c r="G221" s="10" t="str"/>
      <x:c r="H221" s="10" t="str">
        <x:v>2024-09-09</x:v>
      </x:c>
      <x:c r="I221" s="10" t="n">
        <x:v>2024</x:v>
      </x:c>
      <x:c r="J221" s="10" t="str">
        <x:v>THE Alliance</x:v>
      </x:c>
      <x:c r="K221" s="10" t="str">
        <x:v>Le Havre</x:v>
      </x:c>
      <x:c r="L221" s="10" t="str">
        <x:v>C</x:v>
      </x:c>
      <x:c r="M221" s="10" t="str">
        <x:v>https://www.scribd.com/document/754984822/SCHEDULES-LE-HAVRE-BUSAN-AOUT-2024</x:v>
      </x:c>
      <x:c r="N221" s="10" t="str">
        <x:v>Schedule commercial Le Havre–Busan.</x:v>
      </x:c>
    </x:row>
    <x:row r="222">
      <x:c r="A222" s="10" t="str">
        <x:v>Shipping Corporation of India (SCI)</x:v>
      </x:c>
      <x:c r="B222" s="10" t="str">
        <x:v>Référentiel V4</x:v>
      </x:c>
      <x:c r="C222" s="10" t="str">
        <x:v>EU-B</x:v>
      </x:c>
      <x:c r="D222" s="10" t="str">
        <x:v>Shipping Corporation of India</x:v>
      </x:c>
      <x:c r="E222" s="10" t="str">
        <x:v>SCI</x:v>
      </x:c>
      <x:c r="F222" s="10" t="str">
        <x:v>SCI DEHLI</x:v>
      </x:c>
      <x:c r="G222" s="10" t="str"/>
      <x:c r="H222" s="10" t="str">
        <x:v>2024-12-17</x:v>
      </x:c>
      <x:c r="I222" s="10" t="n">
        <x:v>2024</x:v>
      </x:c>
      <x:c r="J222" s="10" t="str">
        <x:v>Inde–Europe</x:v>
      </x:c>
      <x:c r="K222" s="10" t="str">
        <x:v>TNMSC</x:v>
      </x:c>
      <x:c r="L222" s="10" t="str">
        <x:v>A1</x:v>
      </x:c>
      <x:c r="M222" s="10" t="str">
        <x:v>https://www.haropaport.com/fr/actualites/une-escale-strategique-pour-renforcer-la-connectivite-entre-le-havre-et-linde</x:v>
      </x:c>
      <x:c r="N222" s="10" t="str">
        <x:v>Escale officielle HAROPA.</x:v>
      </x:c>
    </x:row>
    <x:row r="223">
      <x:c r="A223" s="10" t="str">
        <x:v>X-Press Feeders</x:v>
      </x:c>
      <x:c r="B223" s="10" t="str">
        <x:v>Référentiel V4</x:v>
      </x:c>
      <x:c r="C223" s="10" t="str">
        <x:v>EU-A</x:v>
      </x:c>
      <x:c r="D223" s="10" t="str">
        <x:v>X-Press Feeders</x:v>
      </x:c>
      <x:c r="E223" s="10" t="str">
        <x:v>X-Press Feeders</x:v>
      </x:c>
      <x:c r="F223" s="10" t="str">
        <x:v>X-PRESS ELBE</x:v>
      </x:c>
      <x:c r="G223" s="10" t="str">
        <x:v>9483669</x:v>
      </x:c>
      <x:c r="H223" s="10" t="str">
        <x:v>2023-08-26</x:v>
      </x:c>
      <x:c r="I223" s="10" t="n">
        <x:v>2023</x:v>
      </x:c>
      <x:c r="J223" s="10" t="str">
        <x:v>Feeder Europe</x:v>
      </x:c>
      <x:c r="K223" s="10" t="str">
        <x:v>Le Havre</x:v>
      </x:c>
      <x:c r="L223" s="10" t="str">
        <x:v>C</x:v>
      </x:c>
      <x:c r="M223" s="10" t="str">
        <x:v>https://www.marine-marchande.net/Jourlejour4/AujourleJour-528.html</x:v>
      </x:c>
      <x:c r="N223" s="10" t="str">
        <x:v>Observation portuaire datée.</x:v>
      </x:c>
    </x:row>
    <x:row r="224">
      <x:c r="A224" s="10" t="str">
        <x:v>Yang Ming Marine Transport</x:v>
      </x:c>
      <x:c r="B224" s="10" t="str">
        <x:v>Référentiel V4</x:v>
      </x:c>
      <x:c r="C224" s="10" t="str">
        <x:v>EU-A</x:v>
      </x:c>
      <x:c r="D224" s="10" t="str">
        <x:v>Yang Ming</x:v>
      </x:c>
      <x:c r="E224" s="10" t="str">
        <x:v>Yang Ming</x:v>
      </x:c>
      <x:c r="F224" s="10" t="str">
        <x:v>YM WREATH</x:v>
      </x:c>
      <x:c r="G224" s="10" t="str"/>
      <x:c r="H224" s="10" t="str">
        <x:v>2025-05-07</x:v>
      </x:c>
      <x:c r="I224" s="10" t="n">
        <x:v>2025</x:v>
      </x:c>
      <x:c r="J224" s="10" t="str">
        <x:v>FE4 / Premier Alliance</x:v>
      </x:c>
      <x:c r="K224" s="10" t="str">
        <x:v>Terminal de France</x:v>
      </x:c>
      <x:c r="L224" s="10" t="str">
        <x:v>A1</x:v>
      </x:c>
      <x:c r="M224" s="10" t="str">
        <x:v>https://www.haropaport.com/fr/actualites/les-plus-grands-navires-de-larmement-yang-ming-reviennent-au-havre</x:v>
      </x:c>
      <x:c r="N224" s="10" t="str">
        <x:v>Retour officiel des grands navires Yang Ming.</x:v>
      </x:c>
    </x:row>
    <x:row r="225">
      <x:c r="A225" s="10" t="str">
        <x:v>ZIM Integrated Shipping Services</x:v>
      </x:c>
      <x:c r="B225" s="10" t="str">
        <x:v>Référentiel V4</x:v>
      </x:c>
      <x:c r="C225" s="10" t="str">
        <x:v>EU-A</x:v>
      </x:c>
      <x:c r="D225" s="10" t="str">
        <x:v>ZIM</x:v>
      </x:c>
      <x:c r="E225" s="10" t="str">
        <x:v>ZIM</x:v>
      </x:c>
      <x:c r="F225" s="10" t="str">
        <x:v>ZIM VIETNAM</x:v>
      </x:c>
      <x:c r="G225" s="10" t="str">
        <x:v>9244922</x:v>
      </x:c>
      <x:c r="H225" s="10" t="str">
        <x:v>2024-01-31</x:v>
      </x:c>
      <x:c r="I225" s="10" t="n">
        <x:v>2024</x:v>
      </x:c>
      <x:c r="J225" s="10" t="str">
        <x:v>Service ZIM</x:v>
      </x:c>
      <x:c r="K225" s="10" t="str">
        <x:v>Le Havre</x:v>
      </x:c>
      <x:c r="L225" s="10" t="str">
        <x:v>C</x:v>
      </x:c>
      <x:c r="M225" s="10" t="str">
        <x:v>https://www.marine-marchande.net/Jourlejour4/AujourleJour-533.html</x:v>
      </x:c>
      <x:c r="N225" s="10" t="str">
        <x:v>Présence havraise documentée.</x:v>
      </x:c>
    </x:row>
    <x:row r="226">
      <x:c r="A226" s="10" t="str">
        <x:v>BG Freight Line</x:v>
      </x:c>
      <x:c r="B226" s="10" t="str">
        <x:v>Complément hors V4</x:v>
      </x:c>
      <x:c r="C226" s="10" t="str">
        <x:v>Hors V4</x:v>
      </x:c>
      <x:c r="D226" s="10" t="str">
        <x:v>BG Freight Line</x:v>
      </x:c>
      <x:c r="E226" s="10" t="str">
        <x:v>BG Freight Line</x:v>
      </x:c>
      <x:c r="F226" s="10" t="str">
        <x:v>BG ONYX</x:v>
      </x:c>
      <x:c r="G226" s="10" t="str"/>
      <x:c r="H226" s="10" t="str">
        <x:v>2024-09-10</x:v>
      </x:c>
      <x:c r="I226" s="10" t="n">
        <x:v>2024</x:v>
      </x:c>
      <x:c r="J226" s="10" t="str">
        <x:v>Le Havre–Felixstowe</x:v>
      </x:c>
      <x:c r="K226" s="10" t="str">
        <x:v>Le Havre</x:v>
      </x:c>
      <x:c r="L226" s="10" t="str">
        <x:v>A1</x:v>
      </x:c>
      <x:c r="M226" s="10" t="str">
        <x:v>https://www.haropaport.com/fr/actualites/une-nouvelle-ligne-hebdomadaire-au-depart-du-havre-vers-felixstowe</x:v>
      </x:c>
      <x:c r="N226" s="10" t="str">
        <x:v>Escale inaugurale officielle.</x:v>
      </x:c>
    </x:row>
    <x:row r="227">
      <x:c r="A227" s="10" t="str">
        <x:v>Gemini Cooperation</x:v>
      </x:c>
      <x:c r="B227" s="10" t="str">
        <x:v>Complément hors V4</x:v>
      </x:c>
      <x:c r="C227" s="10" t="str">
        <x:v>Hors V4</x:v>
      </x:c>
      <x:c r="D227" s="10" t="str">
        <x:v>Gemini Cooperation</x:v>
      </x:c>
      <x:c r="E227" s="10" t="str">
        <x:v>Maersk / Hapag-Lloyd</x:v>
      </x:c>
      <x:c r="F227" s="10" t="str">
        <x:v>KASSIAKOS</x:v>
      </x:c>
      <x:c r="G227" s="10" t="str">
        <x:v>9386471</x:v>
      </x:c>
      <x:c r="H227" s="10" t="str">
        <x:v>2026-09-18</x:v>
      </x:c>
      <x:c r="I227" s="10" t="n">
        <x:v>2026</x:v>
      </x:c>
      <x:c r="J227" s="10" t="str">
        <x:v>Gemini</x:v>
      </x:c>
      <x:c r="K227" s="10" t="str">
        <x:v>Le Havre</x:v>
      </x:c>
      <x:c r="L227" s="10" t="str">
        <x:v>A1</x:v>
      </x:c>
      <x:c r="M227" s="10" t="str">
        <x:v>https://www.maersk.com/schedules/port-calls?fromDate=2026-09-18&amp;portGeoId=274LBR94PNZWE</x:v>
      </x:c>
      <x:c r="N227" s="10" t="str">
        <x:v>Escale arrivée le 18/09/2026, recoupée avec les mouvements portuaires.</x:v>
      </x:c>
    </x:row>
    <x:row r="228">
      <x:c r="A228" s="10" t="str">
        <x:v>Gemini Cooperation</x:v>
      </x:c>
      <x:c r="B228" s="10" t="str">
        <x:v>Complément hors V4</x:v>
      </x:c>
      <x:c r="C228" s="10" t="str">
        <x:v>Hors V4</x:v>
      </x:c>
      <x:c r="D228" s="10" t="str">
        <x:v>Gemini Cooperation</x:v>
      </x:c>
      <x:c r="E228" s="10" t="str">
        <x:v>Maersk / Hapag-Lloyd</x:v>
      </x:c>
      <x:c r="F228" s="10" t="str">
        <x:v>STADT DRESDEN</x:v>
      </x:c>
      <x:c r="G228" s="10" t="str"/>
      <x:c r="H228" s="10" t="str">
        <x:v>2025-03-25</x:v>
      </x:c>
      <x:c r="I228" s="10" t="n">
        <x:v>2025</x:v>
      </x:c>
      <x:c r="J228" s="10" t="str">
        <x:v>Med France Shuttle</x:v>
      </x:c>
      <x:c r="K228" s="10" t="str">
        <x:v>Quai de l'Atlantique</x:v>
      </x:c>
      <x:c r="L228" s="10" t="str">
        <x:v>A1</x:v>
      </x:c>
      <x:c r="M228" s="10" t="str">
        <x:v>https://www.haropaport.com/fr/actualites/au-havre-le-stadt-dresden-inaugure-le-service-shuttle-mediterranee-de-gemini-cooperation</x:v>
      </x:c>
      <x:c r="N228" s="10" t="str">
        <x:v>Escale inaugurale officielle.</x:v>
      </x:c>
    </x:row>
    <x:row r="229">
      <x:c r="A229" s="10" t="str">
        <x:v>Tradewind Shipping</x:v>
      </x:c>
      <x:c r="B229" s="10" t="str">
        <x:v>Complément hors V4</x:v>
      </x:c>
      <x:c r="C229" s="10" t="str">
        <x:v>Hors V4</x:v>
      </x:c>
      <x:c r="D229" s="10" t="str">
        <x:v>Tradewind Shipping</x:v>
      </x:c>
      <x:c r="E229" s="10" t="str">
        <x:v>Tradewind Shipping</x:v>
      </x:c>
      <x:c r="F229" s="10" t="str">
        <x:v>TRADEWIND</x:v>
      </x:c>
      <x:c r="G229" s="10" t="str">
        <x:v>9367944</x:v>
      </x:c>
      <x:c r="H229" s="10" t="str">
        <x:v>2024-05-14</x:v>
      </x:c>
      <x:c r="I229" s="10" t="n">
        <x:v>2024</x:v>
      </x:c>
      <x:c r="J229" s="10" t="str">
        <x:v>Service conteneurisé</x:v>
      </x:c>
      <x:c r="K229" s="10" t="str">
        <x:v>Le Havre</x:v>
      </x:c>
      <x:c r="L229" s="10" t="str">
        <x:v>C</x:v>
      </x:c>
      <x:c r="M229" s="10" t="str">
        <x:v>https://www.marine-marchande.net/Jourlejour4/AujourleJour-536.html</x:v>
      </x:c>
      <x:c r="N229" s="10" t="str">
        <x:v>Retour au Havre documenté ; navire porte-conteneurs.</x:v>
      </x:c>
    </x:row>
  </x:sheetData>
  <x:conditionalFormatting sqref="L2:L229">
    <x:cfRule type="expression" dxfId="0" priority="1">
      <x:formula>L2="A1"</x:formula>
    </x:cfRule>
    <x:cfRule type="expression" dxfId="1" priority="2">
      <x:formula>L2="A2"</x:formula>
    </x:cfRule>
    <x:cfRule type="expression" dxfId="2" priority="3">
      <x:formula>L2="B1"</x:formula>
    </x:cfRule>
    <x:cfRule type="expression" dxfId="3" priority="4">
      <x:formula>L2="B2"</x:formula>
    </x:cfRule>
    <x:cfRule type="expression" dxfId="4" priority="5">
      <x:formula>L2="C"</x:formula>
    </x:cfRule>
  </x:conditionalFormatting>
  <x:conditionalFormatting sqref="C2:C229">
    <x:cfRule type="expression" dxfId="5" priority="6">
      <x:formula>C2="EU-A"</x:formula>
    </x:cfRule>
    <x:cfRule type="expression" dxfId="6" priority="7">
      <x:formula>C2="EU-B"</x:formula>
    </x:cfRule>
    <x:cfRule type="expression" dxfId="7" priority="8">
      <x:formula>C2="NE"</x:formula>
    </x:cfRule>
    <x:cfRule type="expression" dxfId="8" priority="9">
      <x:formula>C2="Hors V4"</x:formula>
    </x:cfRule>
  </x:conditionalFormatting>
  <x:pageMargins left="0.7" right="0.7" top="0.75" bottom="0.75" header="0.3" footer="0.3"/>
  <x:tableParts count="1">
    <x:tablePart xmlns:r="http://schemas.openxmlformats.org/officeDocument/2006/relationships" r:id="Rcd0568ae1cc74fea"/>
  </x:tableParts>
</x:worksheet>
</file>

<file path=xl/worksheets/sheet4.xml><?xml version="1.0" encoding="utf-8"?>
<x:worksheet xmlns:x="http://schemas.openxmlformats.org/spreadsheetml/2006/main">
  <x:sheetFormatPr defaultRowHeight="15"/>
  <x:cols>
    <x:col min="1" max="1" width="26" hidden="0" customWidth="1"/>
    <x:col min="2" max="2" width="20" hidden="0" customWidth="1"/>
    <x:col min="3" max="3" width="13" hidden="0" customWidth="1"/>
    <x:col min="4" max="4" width="42" hidden="0" customWidth="1"/>
    <x:col min="5" max="5" width="70" hidden="0" customWidth="1"/>
    <x:col min="7" max="7" width="21" hidden="0" customWidth="1"/>
    <x:col min="8" max="8" width="21" hidden="0" customWidth="1"/>
    <x:col min="9" max="9" width="21" hidden="0" customWidth="1"/>
    <x:col min="10" max="10" width="21" hidden="0" customWidth="1"/>
  </x:cols>
  <x:sheetData>
    <x:row r="1">
      <x:c r="A1" s="14" t="str">
        <x:v>Entité</x:v>
      </x:c>
      <x:c r="B1" s="14" t="str">
        <x:v>Type</x:v>
      </x:c>
      <x:c r="C1" s="14" t="str">
        <x:v>Nb navires</x:v>
      </x:c>
      <x:c r="D1" s="14" t="str">
        <x:v>Traitement dans la fusion</x:v>
      </x:c>
      <x:c r="E1" s="14" t="str">
        <x:v>Commentaire</x:v>
      </x:c>
      <x:c r="G1" s="68" t="str">
        <x:v>V5 : BG Freight est désormais rattaché à Peel Ports d'après le tableau de consolidation Alphaliner. Gemini reste une coopération opérationnelle ; Tradewind Shipping reste à qualifier.</x:v>
      </x:c>
      <x:c r="H1" s="68"/>
      <x:c r="I1" s="68"/>
      <x:c r="J1" s="68"/>
    </x:row>
    <x:row r="2">
      <x:c r="A2" s="10" t="str">
        <x:v>BG Freight Line</x:v>
      </x:c>
      <x:c r="B2" s="10" t="str">
        <x:v>Complément hors V4</x:v>
      </x:c>
      <x:c r="C2" s="10" t="n">
        <x:f>COUNTIF('Navires détaillés'!$A$2:$A$229,A2)</x:f>
        <x:v>1</x:v>
      </x:c>
      <x:c r="D2" s="10" t="str">
        <x:v>Conservé séparément - non forcé dans les 89 compagnies</x:v>
      </x:c>
      <x:c r="E2" s="10" t="str">
        <x:v>Présent dans la base navires mais pas comme entrée autonome parmi les 89 opérateurs V4. Activité Europe prouvée par une escale au Havre.</x:v>
      </x:c>
      <x:c r="G2" s="68"/>
      <x:c r="H2" s="68"/>
      <x:c r="I2" s="68"/>
      <x:c r="J2" s="68"/>
    </x:row>
    <x:row r="3">
      <x:c r="A3" s="10" t="str">
        <x:v>Gemini Cooperation</x:v>
      </x:c>
      <x:c r="B3" s="10" t="str">
        <x:v>Complément hors V4</x:v>
      </x:c>
      <x:c r="C3" s="10" t="n">
        <x:f>COUNTIF('Navires détaillés'!$A$2:$A$229,A3)</x:f>
        <x:v>2</x:v>
      </x:c>
      <x:c r="D3" s="10" t="str">
        <x:v>Conservé séparément - non forcé dans les 89 compagnies</x:v>
      </x:c>
      <x:c r="E3" s="10" t="str">
        <x:v>Coopération opérationnelle Maersk / Hapag-Lloyd ; ce n'est pas un armateur autonome du référentiel V4.</x:v>
      </x:c>
      <x:c r="G3" s="68"/>
      <x:c r="H3" s="68"/>
      <x:c r="I3" s="68"/>
      <x:c r="J3" s="68"/>
    </x:row>
    <x:row r="4">
      <x:c r="A4" s="10" t="str">
        <x:v>Tradewind Shipping</x:v>
      </x:c>
      <x:c r="B4" s="10" t="str">
        <x:v>Complément hors V4</x:v>
      </x:c>
      <x:c r="C4" s="10" t="n">
        <x:f>COUNTIF('Navires détaillés'!$A$2:$A$229,A4)</x:f>
        <x:v>1</x:v>
      </x:c>
      <x:c r="D4" s="10" t="str">
        <x:v>Conservé séparément - non forcé dans les 89 compagnies</x:v>
      </x:c>
      <x:c r="E4" s="10" t="str">
        <x:v>Présent dans la base navires mais pas comme entrée autonome parmi les 89 opérateurs V4. À qualifier dans une future V5.</x:v>
      </x:c>
      <x:c r="G4" s="68"/>
      <x:c r="H4" s="68"/>
      <x:c r="I4" s="68"/>
      <x:c r="J4" s="68"/>
    </x:row>
  </x:sheetData>
  <x:mergeCells>
    <x:mergeCell ref="G1:J4"/>
  </x:mergeCells>
  <x:pageMargins left="0.7" right="0.7" top="0.75" bottom="0.75" header="0.3" footer="0.3"/>
  <x:tableParts count="1">
    <x:tablePart xmlns:r="http://schemas.openxmlformats.org/officeDocument/2006/relationships" r:id="R2001b1c95f5b4bd2"/>
  </x:tableParts>
</x:worksheet>
</file>

<file path=xl/worksheets/sheet5.xml><?xml version="1.0" encoding="utf-8"?>
<x:worksheet xmlns:x="http://schemas.openxmlformats.org/spreadsheetml/2006/main">
  <x:sheetFormatPr defaultRowHeight="15"/>
  <x:cols>
    <x:col min="1" max="1" width="32" hidden="0" customWidth="1"/>
    <x:col min="2" max="2" width="28" hidden="0" customWidth="1"/>
    <x:col min="3" max="3" width="28" hidden="0" customWidth="1"/>
    <x:col min="4" max="4" width="58" hidden="0" customWidth="1"/>
    <x:col min="6" max="6" width="22" hidden="0" customWidth="1"/>
    <x:col min="7" max="7" width="22" hidden="0" customWidth="1"/>
    <x:col min="8" max="8" width="22" hidden="0" customWidth="1"/>
    <x:col min="9" max="9" width="22" hidden="0" customWidth="1"/>
  </x:cols>
  <x:sheetData>
    <x:row r="1">
      <x:c r="A1" s="5" t="str">
        <x:v>Marque / nom</x:v>
      </x:c>
      <x:c r="B1" s="5" t="str">
        <x:v>Groupe</x:v>
      </x:c>
      <x:c r="C1" s="5" t="str">
        <x:v>Statut</x:v>
      </x:c>
      <x:c r="D1" s="5" t="str">
        <x:v>Commentaire</x:v>
      </x:c>
      <x:c r="F1" s="61" t="str">
        <x:v>V5 : cette feuille est conservée comme historique V4. Pour la hiérarchie complète avec Maison mère, Groupe_ID et Entité_ID, utiliser « Hiérarchie compagnies V5 ».</x:v>
      </x:c>
      <x:c r="G1" s="61"/>
      <x:c r="H1" s="61"/>
      <x:c r="I1" s="61"/>
    </x:row>
    <x:row r="2">
      <x:c r="A2" s="10" t="str">
        <x:v>WEC Lines</x:v>
      </x:c>
      <x:c r="B2" s="10" t="str">
        <x:v>MSC</x:v>
      </x:c>
      <x:c r="C2" s="10" t="str">
        <x:v>Marque / filiale consolidée</x:v>
      </x:c>
      <x:c r="D2" s="10" t="str">
        <x:v>Europe / short-sea</x:v>
      </x:c>
      <x:c r="F2" s="61"/>
      <x:c r="G2" s="61"/>
      <x:c r="H2" s="61"/>
      <x:c r="I2" s="61"/>
    </x:row>
    <x:row r="3">
      <x:c r="A3" s="10" t="str">
        <x:v>Log-In Logística</x:v>
      </x:c>
      <x:c r="B3" s="10" t="str">
        <x:v>MSC</x:v>
      </x:c>
      <x:c r="C3" s="10" t="str">
        <x:v>Filiale consolidée</x:v>
      </x:c>
      <x:c r="D3" s="10" t="str">
        <x:v>Brésil / Amérique du Sud</x:v>
      </x:c>
      <x:c r="F3" s="61"/>
      <x:c r="G3" s="61"/>
      <x:c r="H3" s="61"/>
      <x:c r="I3" s="61"/>
    </x:row>
    <x:row r="4">
      <x:c r="A4" s="10" t="str">
        <x:v>Sealand</x:v>
      </x:c>
      <x:c r="B4" s="10" t="str">
        <x:v>Maersk</x:v>
      </x:c>
      <x:c r="C4" s="10" t="str">
        <x:v>Marque historique / régionale</x:v>
      </x:c>
      <x:c r="D4" s="10" t="str">
        <x:v>Consolidée dans Maersk</x:v>
      </x:c>
      <x:c r="F4" s="61"/>
      <x:c r="G4" s="61"/>
      <x:c r="H4" s="61"/>
      <x:c r="I4" s="61"/>
    </x:row>
    <x:row r="5">
      <x:c r="A5" s="10" t="str">
        <x:v>Hamburg Süd</x:v>
      </x:c>
      <x:c r="B5" s="10" t="str">
        <x:v>Maersk</x:v>
      </x:c>
      <x:c r="C5" s="10" t="str">
        <x:v>Marque historique intégrée</x:v>
      </x:c>
      <x:c r="D5" s="10" t="str">
        <x:v>Ne pas compter comme armateur indépendant</x:v>
      </x:c>
    </x:row>
    <x:row r="6">
      <x:c r="A6" s="10" t="str">
        <x:v>Aliança</x:v>
      </x:c>
      <x:c r="B6" s="10" t="str">
        <x:v>Maersk</x:v>
      </x:c>
      <x:c r="C6" s="10" t="str">
        <x:v>Marque / héritage Brésil</x:v>
      </x:c>
      <x:c r="D6" s="10" t="str">
        <x:v>Consolidée dans Maersk</x:v>
      </x:c>
    </x:row>
    <x:row r="7">
      <x:c r="A7" s="10" t="str">
        <x:v>APL</x:v>
      </x:c>
      <x:c r="B7" s="10" t="str">
        <x:v>CMA CGM</x:v>
      </x:c>
      <x:c r="C7" s="10" t="str">
        <x:v>Marque du groupe</x:v>
      </x:c>
      <x:c r="D7" s="10" t="str">
        <x:v>American President Lines</x:v>
      </x:c>
    </x:row>
    <x:row r="8">
      <x:c r="A8" s="10" t="str">
        <x:v>ANL</x:v>
      </x:c>
      <x:c r="B8" s="10" t="str">
        <x:v>CMA CGM</x:v>
      </x:c>
      <x:c r="C8" s="10" t="str">
        <x:v>Marque du groupe</x:v>
      </x:c>
      <x:c r="D8" s="10" t="str">
        <x:v>Océanie / Asie</x:v>
      </x:c>
    </x:row>
    <x:row r="9">
      <x:c r="A9" s="10" t="str">
        <x:v>CNC</x:v>
      </x:c>
      <x:c r="B9" s="10" t="str">
        <x:v>CMA CGM</x:v>
      </x:c>
      <x:c r="C9" s="10" t="str">
        <x:v>Marque du groupe</x:v>
      </x:c>
      <x:c r="D9" s="10" t="str">
        <x:v>Intra-Asie</x:v>
      </x:c>
    </x:row>
    <x:row r="10">
      <x:c r="A10" s="10" t="str">
        <x:v>Containerships</x:v>
      </x:c>
      <x:c r="B10" s="10" t="str">
        <x:v>CMA CGM</x:v>
      </x:c>
      <x:c r="C10" s="10" t="str">
        <x:v>Marque du groupe</x:v>
      </x:c>
      <x:c r="D10" s="10" t="str">
        <x:v>Europe short-sea / multimodal</x:v>
      </x:c>
    </x:row>
    <x:row r="11">
      <x:c r="A11" s="10" t="str">
        <x:v>Mercosul Line</x:v>
      </x:c>
      <x:c r="B11" s="10" t="str">
        <x:v>CMA CGM</x:v>
      </x:c>
      <x:c r="C11" s="10" t="str">
        <x:v>Marque du groupe</x:v>
      </x:c>
      <x:c r="D11" s="10" t="str">
        <x:v>Brésil / Amérique du Sud</x:v>
      </x:c>
    </x:row>
    <x:row r="12">
      <x:c r="A12" s="10" t="str">
        <x:v>CoMaNav</x:v>
      </x:c>
      <x:c r="B12" s="10" t="str">
        <x:v>CMA CGM</x:v>
      </x:c>
      <x:c r="C12" s="10" t="str">
        <x:v>Marque / filiale</x:v>
      </x:c>
      <x:c r="D12" s="10" t="str">
        <x:v>Maroc / Méditerranée</x:v>
      </x:c>
    </x:row>
    <x:row r="13">
      <x:c r="A13" s="10" t="str">
        <x:v>Sofrana</x:v>
      </x:c>
      <x:c r="B13" s="10" t="str">
        <x:v>CMA CGM</x:v>
      </x:c>
      <x:c r="C13" s="10" t="str">
        <x:v>Marque / filiale</x:v>
      </x:c>
      <x:c r="D13" s="10" t="str">
        <x:v>Pacifique</x:v>
      </x:c>
    </x:row>
    <x:row r="14">
      <x:c r="A14" s="10" t="str">
        <x:v>OOCL</x:v>
      </x:c>
      <x:c r="B14" s="10" t="str">
        <x:v>COSCO Group</x:v>
      </x:c>
      <x:c r="C14" s="10" t="str">
        <x:v>Marque / filiale</x:v>
      </x:c>
      <x:c r="D14" s="10" t="str">
        <x:v>Orient Overseas Container Line</x:v>
      </x:c>
    </x:row>
    <x:row r="15">
      <x:c r="A15" s="10" t="str">
        <x:v>Shanghai Pan Asia Shipping</x:v>
      </x:c>
      <x:c r="B15" s="10" t="str">
        <x:v>COSCO Group</x:v>
      </x:c>
      <x:c r="C15" s="10" t="str">
        <x:v>Filiale consolidée</x:v>
      </x:c>
      <x:c r="D15" s="10" t="str">
        <x:v>Asie</x:v>
      </x:c>
    </x:row>
    <x:row r="16">
      <x:c r="A16" s="10" t="str">
        <x:v>New Golden Sea Shipping</x:v>
      </x:c>
      <x:c r="B16" s="10" t="str">
        <x:v>COSCO Group</x:v>
      </x:c>
      <x:c r="C16" s="10" t="str">
        <x:v>Filiale consolidée</x:v>
      </x:c>
      <x:c r="D16" s="10" t="str">
        <x:v>Asie</x:v>
      </x:c>
    </x:row>
    <x:row r="17">
      <x:c r="A17" s="10" t="str">
        <x:v>Diamond Line</x:v>
      </x:c>
      <x:c r="B17" s="10" t="str">
        <x:v>COSCO Group</x:v>
      </x:c>
      <x:c r="C17" s="10" t="str">
        <x:v>Marque / filiale</x:v>
      </x:c>
      <x:c r="D17" s="10" t="str">
        <x:v>Europe / Méditerranée</x:v>
      </x:c>
    </x:row>
    <x:row r="18">
      <x:c r="A18" s="10" t="str">
        <x:v>NileDutch</x:v>
      </x:c>
      <x:c r="B18" s="10" t="str">
        <x:v>Hapag-Lloyd</x:v>
      </x:c>
      <x:c r="C18" s="10" t="str">
        <x:v>Ancienne marque intégrée</x:v>
      </x:c>
      <x:c r="D18" s="10" t="str">
        <x:v>Afrique - Europe; non indépendante</x:v>
      </x:c>
    </x:row>
    <x:row r="19">
      <x:c r="A19" s="10" t="str">
        <x:v>DAL (Deutsche Afrika-Linien)</x:v>
      </x:c>
      <x:c r="B19" s="10" t="str">
        <x:v>Hapag-Lloyd</x:v>
      </x:c>
      <x:c r="C19" s="10" t="str">
        <x:v>Activité intégrée</x:v>
      </x:c>
      <x:c r="D19" s="10" t="str">
        <x:v>Afrique</x:v>
      </x:c>
    </x:row>
    <x:row r="20">
      <x:c r="A20" s="10" t="str">
        <x:v>UASC</x:v>
      </x:c>
      <x:c r="B20" s="10" t="str">
        <x:v>Hapag-Lloyd</x:v>
      </x:c>
      <x:c r="C20" s="10" t="str">
        <x:v>Ancien armateur intégré</x:v>
      </x:c>
      <x:c r="D20" s="10" t="str">
        <x:v>Non indépendant</x:v>
      </x:c>
    </x:row>
    <x:row r="21">
      <x:c r="A21" s="10" t="str">
        <x:v>Italia Marittima</x:v>
      </x:c>
      <x:c r="B21" s="10" t="str">
        <x:v>Evergreen</x:v>
      </x:c>
      <x:c r="C21" s="10" t="str">
        <x:v>Filiale / marque</x:v>
      </x:c>
      <x:c r="D21" s="10" t="str">
        <x:v>Europe</x:v>
      </x:c>
    </x:row>
    <x:row r="22">
      <x:c r="A22" s="10" t="str">
        <x:v>Gold Star Line</x:v>
      </x:c>
      <x:c r="B22" s="10" t="str">
        <x:v>ZIM</x:v>
      </x:c>
      <x:c r="C22" s="10" t="str">
        <x:v>Marque / filiale</x:v>
      </x:c>
      <x:c r="D22" s="10" t="str">
        <x:v>Asie / Afrique / niches</x:v>
      </x:c>
    </x:row>
    <x:row r="23">
      <x:c r="A23" s="10" t="str">
        <x:v>Advance Container Line</x:v>
      </x:c>
      <x:c r="B23" s="10" t="str">
        <x:v>PIL</x:v>
      </x:c>
      <x:c r="C23" s="10" t="str">
        <x:v>Filiale / marque</x:v>
      </x:c>
      <x:c r="D23" s="10" t="str">
        <x:v>Consolidée PIL</x:v>
      </x:c>
    </x:row>
    <x:row r="24">
      <x:c r="A24" s="10" t="str">
        <x:v>Mariana Express Lines (MELL)</x:v>
      </x:c>
      <x:c r="B24" s="10" t="str">
        <x:v>PIL</x:v>
      </x:c>
      <x:c r="C24" s="10" t="str">
        <x:v>Filiale / marque</x:v>
      </x:c>
      <x:c r="D24" s="10" t="str">
        <x:v>Pacifique / Asie</x:v>
      </x:c>
    </x:row>
    <x:row r="25">
      <x:c r="A25" s="10" t="str">
        <x:v>Heung-A Line</x:v>
      </x:c>
      <x:c r="B25" s="10" t="str">
        <x:v>Sinokor</x:v>
      </x:c>
      <x:c r="C25" s="10" t="str">
        <x:v>Filiale consolidée</x:v>
      </x:c>
      <x:c r="D25" s="10" t="str">
        <x:v>Intra-Asie</x:v>
      </x:c>
    </x:row>
    <x:row r="26">
      <x:c r="A26" s="10" t="str">
        <x:v>UFS (Unimed Feeder Services)</x:v>
      </x:c>
      <x:c r="B26" s="10" t="str">
        <x:v>Unifeeder</x:v>
      </x:c>
      <x:c r="C26" s="10" t="str">
        <x:v>Filiale / marque</x:v>
      </x:c>
      <x:c r="D26" s="10" t="str">
        <x:v>Méditerranée</x:v>
      </x:c>
    </x:row>
    <x:row r="27">
      <x:c r="A27" s="10" t="str">
        <x:v>Feedertech</x:v>
      </x:c>
      <x:c r="B27" s="10" t="str">
        <x:v>Unifeeder</x:v>
      </x:c>
      <x:c r="C27" s="10" t="str">
        <x:v>Filiale / marque</x:v>
      </x:c>
      <x:c r="D27" s="10" t="str">
        <x:v>Asie / Moyen-Orient</x:v>
      </x:c>
    </x:row>
    <x:row r="28">
      <x:c r="A28" s="10" t="str">
        <x:v>Shreyas Shipping</x:v>
      </x:c>
      <x:c r="B28" s="10" t="str">
        <x:v>Unifeeder</x:v>
      </x:c>
      <x:c r="C28" s="10" t="str">
        <x:v>Filiale / marque</x:v>
      </x:c>
      <x:c r="D28" s="10" t="str">
        <x:v>Inde</x:v>
      </x:c>
    </x:row>
    <x:row r="29">
      <x:c r="A29" s="10" t="str">
        <x:v>Transworld Feeders</x:v>
      </x:c>
      <x:c r="B29" s="10" t="str">
        <x:v>Unifeeder</x:v>
      </x:c>
      <x:c r="C29" s="10" t="str">
        <x:v>Filiale / marque</x:v>
      </x:c>
      <x:c r="D29" s="10" t="str">
        <x:v>Moyen-Orient / Asie</x:v>
      </x:c>
    </x:row>
    <x:row r="30">
      <x:c r="A30" s="10" t="str">
        <x:v>SAFEEN Feeders</x:v>
      </x:c>
      <x:c r="B30" s="10" t="str">
        <x:v>Global Feeder Shipping / AD Ports</x:v>
      </x:c>
      <x:c r="C30" s="10" t="str">
        <x:v>Marque / activité</x:v>
      </x:c>
      <x:c r="D30" s="10" t="str">
        <x:v>Golfe / feeder</x:v>
      </x:c>
    </x:row>
    <x:row r="31">
      <x:c r="A31" s="10" t="str">
        <x:v>Transmar</x:v>
      </x:c>
      <x:c r="B31" s="10" t="str">
        <x:v>Global Feeder Shipping / AD Ports</x:v>
      </x:c>
      <x:c r="C31" s="10" t="str">
        <x:v>Marque / activité</x:v>
      </x:c>
      <x:c r="D31" s="10" t="str">
        <x:v>Moyen-Orient / Afrique</x:v>
      </x:c>
    </x:row>
    <x:row r="32">
      <x:c r="A32" s="10" t="str">
        <x:v>Atlantic Container Line (ACL)</x:v>
      </x:c>
      <x:c r="B32" s="10" t="str">
        <x:v>Grimaldi Group</x:v>
      </x:c>
      <x:c r="C32" s="10" t="str">
        <x:v>Filiale</x:v>
      </x:c>
      <x:c r="D32" s="10" t="str">
        <x:v>Atlantique Nord; conro / conteneur</x:v>
      </x:c>
    </x:row>
    <x:row r="33">
      <x:c r="A33" s="10" t="str">
        <x:v>Finnlines</x:v>
      </x:c>
      <x:c r="B33" s="10" t="str">
        <x:v>Grimaldi Group</x:v>
      </x:c>
      <x:c r="C33" s="10" t="str">
        <x:v>Filiale</x:v>
      </x:c>
      <x:c r="D33" s="10" t="str">
        <x:v>Baltique / Europe du Nord</x:v>
      </x:c>
    </x:row>
    <x:row r="34">
      <x:c r="A34" s="10" t="str">
        <x:v>HASCO</x:v>
      </x:c>
      <x:c r="B34" s="10" t="str">
        <x:v>Shanghai Jin Jiang Shipping</x:v>
      </x:c>
      <x:c r="C34" s="10" t="str">
        <x:v>Filiale consolidée</x:v>
      </x:c>
      <x:c r="D34" s="10" t="str">
        <x:v>Shanghai Hai Hua</x:v>
      </x:c>
    </x:row>
    <x:row r="35">
      <x:c r="A35" s="10" t="str">
        <x:v>Westwood Shipping</x:v>
      </x:c>
      <x:c r="B35" s="10" t="str">
        <x:v>Swire Shipping</x:v>
      </x:c>
      <x:c r="C35" s="10" t="str">
        <x:v>Filiale / marque</x:v>
      </x:c>
      <x:c r="D35" s="10" t="str">
        <x:v>Pacifique Nord</x:v>
      </x:c>
    </x:row>
    <x:row r="36">
      <x:c r="A36" s="10" t="str">
        <x:v>Pacifica Shipping</x:v>
      </x:c>
      <x:c r="B36" s="10" t="str">
        <x:v>Swire Shipping</x:v>
      </x:c>
      <x:c r="C36" s="10" t="str">
        <x:v>Filiale / marque</x:v>
      </x:c>
      <x:c r="D36" s="10" t="str">
        <x:v>Nouvelle-Zélande</x:v>
      </x:c>
    </x:row>
    <x:row r="37">
      <x:c r="A37" s="10" t="str">
        <x:v>FESCO ESF</x:v>
      </x:c>
      <x:c r="B37" s="10" t="str">
        <x:v>FESCO</x:v>
      </x:c>
      <x:c r="C37" s="10" t="str">
        <x:v>Filiale consolidée</x:v>
      </x:c>
      <x:c r="D37" s="10" t="str">
        <x:v>Russie / feeder</x:v>
      </x:c>
    </x:row>
  </x:sheetData>
  <x:mergeCells>
    <x:mergeCell ref="F1:I4"/>
  </x:mergeCells>
  <x:pageMargins left="0.7" right="0.7" top="0.75" bottom="0.75" header="0.3" footer="0.3"/>
  <x:tableParts count="1">
    <x:tablePart xmlns:r="http://schemas.openxmlformats.org/officeDocument/2006/relationships" r:id="Rb772eca07cb24f0e"/>
  </x:tableParts>
</x:worksheet>
</file>

<file path=xl/worksheets/sheet6.xml><?xml version="1.0" encoding="utf-8"?>
<x:worksheet xmlns:x="http://schemas.openxmlformats.org/spreadsheetml/2006/main">
  <x:sheetFormatPr defaultRowHeight="15"/>
  <x:cols>
    <x:col min="1" max="1" width="55" hidden="0" customWidth="1"/>
    <x:col min="2" max="2" width="100" hidden="0" customWidth="1"/>
  </x:cols>
  <x:sheetData>
    <x:row r="1">
      <x:c r="A1" s="5" t="str">
        <x:v>Source</x:v>
      </x:c>
      <x:c r="B1" s="5" t="str">
        <x:v>Utilisation</x:v>
      </x:c>
    </x:row>
    <x:row r="2">
      <x:c r="A2" s="10" t="str">
        <x:v>Referentiel_compagnies_maritimes_conteneurs_2026_V4.pdf</x:v>
      </x:c>
      <x:c r="B2" s="10" t="str">
        <x:v>89 compagnies/groupes, statut Europe EU-A/EU-B/NE, pays, profil, zones, marques/filiales et sites.</x:v>
      </x:c>
    </x:row>
    <x:row r="3">
      <x:c r="A3" s="10" t="str">
        <x:v>Navires_conteneurs_escales_Le_Havre_depuis_2023_V2.xlsx</x:v>
      </x:c>
      <x:c r="B3" s="10" t="str">
        <x:v>228 navires avec preuve d'escale au Havre depuis le 01/01/2023.</x:v>
      </x:c>
    </x:row>
    <x:row r="4">
      <x:c r="A4" s="10" t="str">
        <x:v>Règle de rattachement</x:v>
      </x:c>
      <x:c r="B4" s="10" t="str">
        <x:v>WEC Lines est consolidé sous MSC ; COSCO et OOCL sous COSCO Group ; les marques opérationnelles restent visibles dans la feuille navires.</x:v>
      </x:c>
    </x:row>
    <x:row r="5">
      <x:c r="A5" s="10" t="str">
        <x:v>Cas non forcés</x:v>
      </x:c>
      <x:c r="B5" s="10" t="str">
        <x:v>BG Freight Line, Gemini Cooperation et Tradewind Shipping restent dans « Entités complémentaires » car ils ne correspondent pas proprement à une entrée autonome des 89 opérateurs V4.</x:v>
      </x:c>
    </x:row>
    <x:row r="6">
      <x:c r="A6" s="10" t="str">
        <x:v>Périmètre temporel</x:v>
      </x:c>
      <x:c r="B6" s="10" t="str">
        <x:v>Fusion réalisée le 19/09/2026 ; base navires arrêtée au 18/09/2026.</x:v>
      </x:c>
    </x:row>
    <x:row r="8">
      <x:c r="A8" s="58" t="str">
        <x:v>V5 - Hiérarchie</x:v>
      </x:c>
      <x:c r="B8" s="10" t="str">
        <x:v>Ajout des Groupe_ID / Entité_ID et repères 🏢 / ↳ pour distinguer maison mère et filiale.</x:v>
      </x:c>
    </x:row>
    <x:row r="9">
      <x:c r="A9" s="58" t="str">
        <x:v>Alphaliner Top 100 - subsidiaries</x:v>
      </x:c>
      <x:c r="B9" s="10" t="str">
        <x:v>https://alphaliner.axsmarine.com/PublicTop100//</x:v>
      </x:c>
    </x:row>
    <x:row r="10">
      <x:c r="A10" s="58" t="str">
        <x:v>CMA CGM - Brands &amp; subsidiaries</x:v>
      </x:c>
      <x:c r="B10" s="10" t="str">
        <x:v>https://www.cmacgm-group.com/en/subsidiaries</x:v>
      </x:c>
    </x:row>
    <x:row r="11">
      <x:c r="A11" s="58" t="str">
        <x:v>CMA CGM - MacAndrews / Containerships</x:v>
      </x:c>
      <x:c r="B11" s="10" t="str">
        <x:v>https://www.cmacgm-group.com/en/news-media/containerships-new-multimodal-transport-intra-european-leader</x:v>
      </x:c>
    </x:row>
    <x:row r="12">
      <x:c r="A12" s="58" t="str">
        <x:v>CMA CGM - SoFrana / ANL</x:v>
      </x:c>
      <x:c r="B12" s="10" t="str">
        <x:v>https://cmacgm-group.com/en/news-media/cma-cgm-strengthen-its-operations-south-pacific-acquisition-sofrana-unilines</x:v>
      </x:c>
    </x:row>
    <x:row r="13">
      <x:c r="A13" s="58" t="str">
        <x:v>Règle de périmètre</x:v>
      </x:c>
      <x:c r="B13" s="10" t="str">
        <x:v>Transport maritime conteneurisé uniquement ; exclusion logistique non maritime, terminaux, air cargo et autres activités hors périmètre.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1" hidden="0" customWidth="1"/>
    <x:col min="2" max="2" width="14" hidden="0" customWidth="1"/>
    <x:col min="3" max="3" width="9" hidden="0" customWidth="1"/>
    <x:col min="4" max="4" width="24" hidden="0" customWidth="1"/>
    <x:col min="5" max="5" width="31" hidden="0" customWidth="1"/>
    <x:col min="6" max="6" width="34" hidden="0" customWidth="1"/>
    <x:col min="7" max="7" width="31" hidden="0" customWidth="1"/>
    <x:col min="8" max="8" width="28" hidden="0" customWidth="1"/>
    <x:col min="9" max="9" width="15" hidden="0" customWidth="1"/>
    <x:col min="10" max="10" width="22" hidden="0" customWidth="1"/>
    <x:col min="11" max="11" width="23" hidden="0" customWidth="1"/>
    <x:col min="12" max="12" width="18" hidden="0" customWidth="1"/>
    <x:col min="13" max="13" width="18" hidden="0" customWidth="1"/>
    <x:col min="14" max="14" width="17" hidden="0" customWidth="1"/>
    <x:col min="15" max="15" width="52" hidden="0" customWidth="1"/>
    <x:col min="16" max="16" width="48" hidden="0" customWidth="1"/>
    <x:col min="17" max="17" width="13" hidden="0" customWidth="1"/>
  </x:cols>
  <x:sheetData>
    <x:row r="1">
      <x:c r="A1" s="44" t="str">
        <x:v>Groupe_ID</x:v>
      </x:c>
      <x:c r="B1" s="44" t="str">
        <x:v>Entité_ID</x:v>
      </x:c>
      <x:c r="C1" s="44" t="str">
        <x:v>Repère</x:v>
      </x:c>
      <x:c r="D1" s="44" t="str">
        <x:v>Niveau</x:v>
      </x:c>
      <x:c r="E1" s="44" t="str">
        <x:v>Entité</x:v>
      </x:c>
      <x:c r="F1" s="44" t="str">
        <x:v>Maison mère / groupe</x:v>
      </x:c>
      <x:c r="G1" s="44" t="str">
        <x:v>Relation</x:v>
      </x:c>
      <x:c r="H1" s="44" t="str">
        <x:v>Statut 2026</x:v>
      </x:c>
      <x:c r="I1" s="44" t="str">
        <x:v>Statut Europe parent</x:v>
      </x:c>
      <x:c r="J1" s="44" t="str">
        <x:v>Pays / siège parent</x:v>
      </x:c>
      <x:c r="K1" s="44" t="str">
        <x:v>Profil parent</x:v>
      </x:c>
      <x:c r="L1" s="44" t="str">
        <x:v>Nb filiales / marques</x:v>
      </x:c>
      <x:c r="M1" s="44" t="str">
        <x:v>Nb navires Le Havre</x:v>
      </x:c>
      <x:c r="N1" s="44" t="str">
        <x:v>Présence Le Havre</x:v>
      </x:c>
      <x:c r="O1" s="44" t="str">
        <x:v>Source hiérarchie</x:v>
      </x:c>
      <x:c r="P1" s="44" t="str">
        <x:v>Couverture filiales</x:v>
      </x:c>
      <x:c r="Q1" s="44" t="str">
        <x:v>Dans V4 89 ?</x:v>
      </x:c>
    </x:row>
    <x:row r="2">
      <x:c r="A2" s="10" t="str">
        <x:v>G001</x:v>
      </x:c>
      <x:c r="B2" s="10" t="str">
        <x:v>G001</x:v>
      </x:c>
      <x:c r="C2" s="10" t="str">
        <x:v>🏢</x:v>
      </x:c>
      <x:c r="D2" s="10" t="str">
        <x:v>MAISON MÈRE / GROUPE</x:v>
      </x:c>
      <x:c r="E2" s="10" t="str">
        <x:v>MSC (Mediterranean Shipping Company)</x:v>
      </x:c>
      <x:c r="F2" s="10" t="str">
        <x:v>MSC (Mediterranean Shipping Company)</x:v>
      </x:c>
      <x:c r="G2" s="10" t="str"/>
      <x:c r="H2" s="10" t="str">
        <x:v>Groupe de rattachement</x:v>
      </x:c>
      <x:c r="I2" s="10" t="str">
        <x:v>EU-A</x:v>
      </x:c>
      <x:c r="J2" s="10" t="str">
        <x:v>Suisse / Genève</x:v>
      </x:c>
      <x:c r="K2" s="10" t="str">
        <x:v>Global deep-sea</x:v>
      </x:c>
      <x:c r="L2" s="10" t="n">
        <x:v>2</x:v>
      </x:c>
      <x:c r="M2" s="10" t="n">
        <x:f>COUNTIF('Navires hiérarchisés V5'!$A$2:$A$229,A2)</x:f>
        <x:v>76</x:v>
      </x:c>
      <x:c r="N2" s="10" t="str">
        <x:f>IF(M2&gt;0,"OUI","NON")</x:f>
        <x:v>OUI</x:v>
      </x:c>
      <x:c r="O2" s="10" t="str">
        <x:v>https://alphaliner.axsmarine.com/PublicTop100//</x:v>
      </x:c>
      <x:c r="P2" s="10" t="str">
        <x:v>A - Filiales consolidées listées publiquement par Alphaliner</x:v>
      </x:c>
      <x:c r="Q2" s="10" t="str">
        <x:v>OUI</x:v>
      </x:c>
    </x:row>
    <x:row r="3">
      <x:c r="A3" s="10" t="str">
        <x:v>G001</x:v>
      </x:c>
      <x:c r="B3" s="10" t="str">
        <x:v>G001-F01</x:v>
      </x:c>
      <x:c r="C3" s="10" t="str">
        <x:v>↳</x:v>
      </x:c>
      <x:c r="D3" s="10" t="str">
        <x:v>FILIALE / MARQUE / ENTITÉ</x:v>
      </x:c>
      <x:c r="E3" s="10" t="str">
        <x:v>Log-In Logística</x:v>
      </x:c>
      <x:c r="F3" s="10" t="str">
        <x:v>MSC (Mediterranean Shipping Company)</x:v>
      </x:c>
      <x:c r="G3" s="10" t="str">
        <x:v>Filiale consolidée</x:v>
      </x:c>
      <x:c r="H3" s="10" t="str">
        <x:v>Consolidée / marque du groupe</x:v>
      </x:c>
      <x:c r="I3" s="10" t="str">
        <x:v>EU-A</x:v>
      </x:c>
      <x:c r="J3" s="10" t="str">
        <x:v>Suisse / Genève</x:v>
      </x:c>
      <x:c r="K3" s="10" t="str">
        <x:v>Global deep-sea</x:v>
      </x:c>
      <x:c r="L3" s="10"/>
      <x:c r="M3" s="10" t="n">
        <x:f>COUNTIF('Navires hiérarchisés V5'!$B$2:$B$229,B3)</x:f>
        <x:v>0</x:v>
      </x:c>
      <x:c r="N3" s="10" t="str">
        <x:f>IF(M3&gt;0,"OUI","NON")</x:f>
        <x:v>NON</x:v>
      </x:c>
      <x:c r="O3" s="10" t="str">
        <x:v>https://alphaliner.axsmarine.com/PublicTop100//</x:v>
      </x:c>
      <x:c r="P3" s="10" t="str">
        <x:v>A - Filiales consolidées listées publiquement par Alphaliner</x:v>
      </x:c>
      <x:c r="Q3" s="10" t="str">
        <x:v>NON</x:v>
      </x:c>
    </x:row>
    <x:row r="4">
      <x:c r="A4" s="10" t="str">
        <x:v>G001</x:v>
      </x:c>
      <x:c r="B4" s="10" t="str">
        <x:v>G001-F02</x:v>
      </x:c>
      <x:c r="C4" s="10" t="str">
        <x:v>↳</x:v>
      </x:c>
      <x:c r="D4" s="10" t="str">
        <x:v>FILIALE / MARQUE / ENTITÉ</x:v>
      </x:c>
      <x:c r="E4" s="10" t="str">
        <x:v>WEC Lines</x:v>
      </x:c>
      <x:c r="F4" s="10" t="str">
        <x:v>MSC (Mediterranean Shipping Company)</x:v>
      </x:c>
      <x:c r="G4" s="10" t="str">
        <x:v>Marque / filiale consolidée</x:v>
      </x:c>
      <x:c r="H4" s="10" t="str">
        <x:v>Consolidée / marque du groupe</x:v>
      </x:c>
      <x:c r="I4" s="10" t="str">
        <x:v>EU-A</x:v>
      </x:c>
      <x:c r="J4" s="10" t="str">
        <x:v>Suisse / Genève</x:v>
      </x:c>
      <x:c r="K4" s="10" t="str">
        <x:v>Global deep-sea</x:v>
      </x:c>
      <x:c r="L4" s="10"/>
      <x:c r="M4" s="10" t="n">
        <x:f>COUNTIF('Navires hiérarchisés V5'!$B$2:$B$229,B4)</x:f>
        <x:v>3</x:v>
      </x:c>
      <x:c r="N4" s="10" t="str">
        <x:f>IF(M4&gt;0,"OUI","NON")</x:f>
        <x:v>OUI</x:v>
      </x:c>
      <x:c r="O4" s="10" t="str">
        <x:v>https://alphaliner.axsmarine.com/PublicTop100//</x:v>
      </x:c>
      <x:c r="P4" s="10" t="str">
        <x:v>A - Filiales consolidées listées publiquement par Alphaliner</x:v>
      </x:c>
      <x:c r="Q4" s="10" t="str">
        <x:v>NON</x:v>
      </x:c>
    </x:row>
    <x:row r="5">
      <x:c r="A5" s="10" t="str">
        <x:v>G002</x:v>
      </x:c>
      <x:c r="B5" s="10" t="str">
        <x:v>G002</x:v>
      </x:c>
      <x:c r="C5" s="10" t="str">
        <x:v>🏢</x:v>
      </x:c>
      <x:c r="D5" s="10" t="str">
        <x:v>MAISON MÈRE / GROUPE</x:v>
      </x:c>
      <x:c r="E5" s="10" t="str">
        <x:v>Maersk (A.P. Moller-Maersk)</x:v>
      </x:c>
      <x:c r="F5" s="10" t="str">
        <x:v>Maersk (A.P. Moller-Maersk)</x:v>
      </x:c>
      <x:c r="G5" s="10" t="str"/>
      <x:c r="H5" s="10" t="str">
        <x:v>Groupe de rattachement</x:v>
      </x:c>
      <x:c r="I5" s="10" t="str">
        <x:v>EU-A</x:v>
      </x:c>
      <x:c r="J5" s="10" t="str">
        <x:v>Danemark / Copenhague</x:v>
      </x:c>
      <x:c r="K5" s="10" t="str">
        <x:v>Global deep-sea</x:v>
      </x:c>
      <x:c r="L5" s="10" t="n">
        <x:v>7</x:v>
      </x:c>
      <x:c r="M5" s="10" t="n">
        <x:f>COUNTIF('Navires hiérarchisés V5'!$A$2:$A$229,A5)</x:f>
        <x:v>10</x:v>
      </x:c>
      <x:c r="N5" s="10" t="str">
        <x:f>IF(M5&gt;0,"OUI","NON")</x:f>
        <x:v>OUI</x:v>
      </x:c>
      <x:c r="O5" s="10" t="str">
        <x:v>https://alphaliner.axsmarine.com/PublicTop100//</x:v>
      </x:c>
      <x:c r="P5" s="10" t="str">
        <x:v>A - Filiales consolidées listées publiquement par Alphaliner</x:v>
      </x:c>
      <x:c r="Q5" s="10" t="str">
        <x:v>OUI</x:v>
      </x:c>
    </x:row>
    <x:row r="6">
      <x:c r="A6" s="10" t="str">
        <x:v>G002</x:v>
      </x:c>
      <x:c r="B6" s="10" t="str">
        <x:v>G002-F01</x:v>
      </x:c>
      <x:c r="C6" s="10" t="str">
        <x:v>↳</x:v>
      </x:c>
      <x:c r="D6" s="10" t="str">
        <x:v>FILIALE / MARQUE / ENTITÉ</x:v>
      </x:c>
      <x:c r="E6" s="10" t="str">
        <x:v>Aliança</x:v>
      </x:c>
      <x:c r="F6" s="10" t="str">
        <x:v>Maersk (A.P. Moller-Maersk)</x:v>
      </x:c>
      <x:c r="G6" s="10" t="str">
        <x:v>Marque / entité consolidée</x:v>
      </x:c>
      <x:c r="H6" s="10" t="str">
        <x:v>Consolidée / marque du groupe</x:v>
      </x:c>
      <x:c r="I6" s="10" t="str">
        <x:v>EU-A</x:v>
      </x:c>
      <x:c r="J6" s="10" t="str">
        <x:v>Danemark / Copenhague</x:v>
      </x:c>
      <x:c r="K6" s="10" t="str">
        <x:v>Global deep-sea</x:v>
      </x:c>
      <x:c r="L6" s="10"/>
      <x:c r="M6" s="10" t="n">
        <x:f>COUNTIF('Navires hiérarchisés V5'!$B$2:$B$229,B6)</x:f>
        <x:v>0</x:v>
      </x:c>
      <x:c r="N6" s="10" t="str">
        <x:f>IF(M6&gt;0,"OUI","NON")</x:f>
        <x:v>NON</x:v>
      </x:c>
      <x:c r="O6" s="10" t="str">
        <x:v>https://alphaliner.axsmarine.com/PublicTop100//</x:v>
      </x:c>
      <x:c r="P6" s="10" t="str">
        <x:v>A - Filiales consolidées listées publiquement par Alphaliner</x:v>
      </x:c>
      <x:c r="Q6" s="10" t="str">
        <x:v>NON</x:v>
      </x:c>
    </x:row>
    <x:row r="7">
      <x:c r="A7" s="10" t="str">
        <x:v>G002</x:v>
      </x:c>
      <x:c r="B7" s="10" t="str">
        <x:v>G002-F02</x:v>
      </x:c>
      <x:c r="C7" s="10" t="str">
        <x:v>↳</x:v>
      </x:c>
      <x:c r="D7" s="10" t="str">
        <x:v>FILIALE / MARQUE / ENTITÉ</x:v>
      </x:c>
      <x:c r="E7" s="10" t="str">
        <x:v>Hamburg Süd</x:v>
      </x:c>
      <x:c r="F7" s="10" t="str">
        <x:v>Maersk (A.P. Moller-Maersk)</x:v>
      </x:c>
      <x:c r="G7" s="10" t="str">
        <x:v>Marque historique intégrée</x:v>
      </x:c>
      <x:c r="H7" s="10" t="str">
        <x:v>Historique / intégrée au groupe</x:v>
      </x:c>
      <x:c r="I7" s="10" t="str">
        <x:v>EU-A</x:v>
      </x:c>
      <x:c r="J7" s="10" t="str">
        <x:v>Danemark / Copenhague</x:v>
      </x:c>
      <x:c r="K7" s="10" t="str">
        <x:v>Global deep-sea</x:v>
      </x:c>
      <x:c r="L7" s="10"/>
      <x:c r="M7" s="10" t="n">
        <x:f>COUNTIF('Navires hiérarchisés V5'!$B$2:$B$229,B7)</x:f>
        <x:v>0</x:v>
      </x:c>
      <x:c r="N7" s="10" t="str">
        <x:f>IF(M7&gt;0,"OUI","NON")</x:f>
        <x:v>NON</x:v>
      </x:c>
      <x:c r="O7" s="10" t="str">
        <x:v>https://alphaliner.axsmarine.com/PublicTop100//</x:v>
      </x:c>
      <x:c r="P7" s="10" t="str">
        <x:v>A - Filiales consolidées listées publiquement par Alphaliner</x:v>
      </x:c>
      <x:c r="Q7" s="10" t="str">
        <x:v>NON</x:v>
      </x:c>
    </x:row>
    <x:row r="8">
      <x:c r="A8" s="10" t="str">
        <x:v>G002</x:v>
      </x:c>
      <x:c r="B8" s="10" t="str">
        <x:v>G002-F03</x:v>
      </x:c>
      <x:c r="C8" s="10" t="str">
        <x:v>↳</x:v>
      </x:c>
      <x:c r="D8" s="10" t="str">
        <x:v>FILIALE / MARQUE / ENTITÉ</x:v>
      </x:c>
      <x:c r="E8" s="10" t="str">
        <x:v>Maersk A/S</x:v>
      </x:c>
      <x:c r="F8" s="10" t="str">
        <x:v>Maersk (A.P. Moller-Maersk)</x:v>
      </x:c>
      <x:c r="G8" s="10" t="str">
        <x:v>Entité opérationnelle consolidée</x:v>
      </x:c>
      <x:c r="H8" s="10" t="str">
        <x:v>Consolidée dans le groupe</x:v>
      </x:c>
      <x:c r="I8" s="10" t="str">
        <x:v>EU-A</x:v>
      </x:c>
      <x:c r="J8" s="10" t="str">
        <x:v>Danemark / Copenhague</x:v>
      </x:c>
      <x:c r="K8" s="10" t="str">
        <x:v>Global deep-sea</x:v>
      </x:c>
      <x:c r="L8" s="10"/>
      <x:c r="M8" s="10" t="n">
        <x:f>COUNTIF('Navires hiérarchisés V5'!$B$2:$B$229,B8)</x:f>
        <x:v>10</x:v>
      </x:c>
      <x:c r="N8" s="10" t="str">
        <x:f>IF(M8&gt;0,"OUI","NON")</x:f>
        <x:v>OUI</x:v>
      </x:c>
      <x:c r="O8" s="10" t="str">
        <x:v>https://alphaliner.axsmarine.com/PublicTop100//</x:v>
      </x:c>
      <x:c r="P8" s="10" t="str">
        <x:v>A - Filiales consolidées listées publiquement par Alphaliner</x:v>
      </x:c>
      <x:c r="Q8" s="10" t="str">
        <x:v>NON</x:v>
      </x:c>
    </x:row>
    <x:row r="9">
      <x:c r="A9" s="10" t="str">
        <x:v>G002</x:v>
      </x:c>
      <x:c r="B9" s="10" t="str">
        <x:v>G002-F04</x:v>
      </x:c>
      <x:c r="C9" s="10" t="str">
        <x:v>↳</x:v>
      </x:c>
      <x:c r="D9" s="10" t="str">
        <x:v>FILIALE / MARQUE / ENTITÉ</x:v>
      </x:c>
      <x:c r="E9" s="10" t="str">
        <x:v>Sealand</x:v>
      </x:c>
      <x:c r="F9" s="10" t="str">
        <x:v>Maersk (A.P. Moller-Maersk)</x:v>
      </x:c>
      <x:c r="G9" s="10" t="str">
        <x:v>Marque historique / ombrelle régionale</x:v>
      </x:c>
      <x:c r="H9" s="10" t="str">
        <x:v>Historique / intégrée au groupe</x:v>
      </x:c>
      <x:c r="I9" s="10" t="str">
        <x:v>EU-A</x:v>
      </x:c>
      <x:c r="J9" s="10" t="str">
        <x:v>Danemark / Copenhague</x:v>
      </x:c>
      <x:c r="K9" s="10" t="str">
        <x:v>Global deep-sea</x:v>
      </x:c>
      <x:c r="L9" s="10"/>
      <x:c r="M9" s="10" t="n">
        <x:f>COUNTIF('Navires hiérarchisés V5'!$B$2:$B$229,B9)</x:f>
        <x:v>0</x:v>
      </x:c>
      <x:c r="N9" s="10" t="str">
        <x:f>IF(M9&gt;0,"OUI","NON")</x:f>
        <x:v>NON</x:v>
      </x:c>
      <x:c r="O9" s="10" t="str">
        <x:v>https://alphaliner.axsmarine.com/PublicTop100//</x:v>
      </x:c>
      <x:c r="P9" s="10" t="str">
        <x:v>A - Filiales consolidées listées publiquement par Alphaliner</x:v>
      </x:c>
      <x:c r="Q9" s="10" t="str">
        <x:v>NON</x:v>
      </x:c>
    </x:row>
    <x:row r="10">
      <x:c r="A10" s="10" t="str">
        <x:v>G002</x:v>
      </x:c>
      <x:c r="B10" s="10" t="str">
        <x:v>G002-F05</x:v>
      </x:c>
      <x:c r="C10" s="10" t="str">
        <x:v>↳</x:v>
      </x:c>
      <x:c r="D10" s="10" t="str">
        <x:v>FILIALE / MARQUE / ENTITÉ</x:v>
      </x:c>
      <x:c r="E10" s="10" t="str">
        <x:v>Sealand Americas</x:v>
      </x:c>
      <x:c r="F10" s="10" t="str">
        <x:v>Maersk (A.P. Moller-Maersk)</x:v>
      </x:c>
      <x:c r="G10" s="10" t="str">
        <x:v>Marque / entité consolidée</x:v>
      </x:c>
      <x:c r="H10" s="10" t="str">
        <x:v>Consolidée dans le groupe</x:v>
      </x:c>
      <x:c r="I10" s="10" t="str">
        <x:v>EU-A</x:v>
      </x:c>
      <x:c r="J10" s="10" t="str">
        <x:v>Danemark / Copenhague</x:v>
      </x:c>
      <x:c r="K10" s="10" t="str">
        <x:v>Global deep-sea</x:v>
      </x:c>
      <x:c r="L10" s="10"/>
      <x:c r="M10" s="10" t="n">
        <x:f>COUNTIF('Navires hiérarchisés V5'!$B$2:$B$229,B10)</x:f>
        <x:v>0</x:v>
      </x:c>
      <x:c r="N10" s="10" t="str">
        <x:f>IF(M10&gt;0,"OUI","NON")</x:f>
        <x:v>NON</x:v>
      </x:c>
      <x:c r="O10" s="10" t="str">
        <x:v>https://alphaliner.axsmarine.com/PublicTop100//</x:v>
      </x:c>
      <x:c r="P10" s="10" t="str">
        <x:v>A - Filiales consolidées listées publiquement par Alphaliner</x:v>
      </x:c>
      <x:c r="Q10" s="10" t="str">
        <x:v>NON</x:v>
      </x:c>
    </x:row>
    <x:row r="11">
      <x:c r="A11" s="10" t="str">
        <x:v>G002</x:v>
      </x:c>
      <x:c r="B11" s="10" t="str">
        <x:v>G002-F06</x:v>
      </x:c>
      <x:c r="C11" s="10" t="str">
        <x:v>↳</x:v>
      </x:c>
      <x:c r="D11" s="10" t="str">
        <x:v>FILIALE / MARQUE / ENTITÉ</x:v>
      </x:c>
      <x:c r="E11" s="10" t="str">
        <x:v>Sealand Asia</x:v>
      </x:c>
      <x:c r="F11" s="10" t="str">
        <x:v>Maersk (A.P. Moller-Maersk)</x:v>
      </x:c>
      <x:c r="G11" s="10" t="str">
        <x:v>Marque / entité consolidée</x:v>
      </x:c>
      <x:c r="H11" s="10" t="str">
        <x:v>Consolidée dans le groupe</x:v>
      </x:c>
      <x:c r="I11" s="10" t="str">
        <x:v>EU-A</x:v>
      </x:c>
      <x:c r="J11" s="10" t="str">
        <x:v>Danemark / Copenhague</x:v>
      </x:c>
      <x:c r="K11" s="10" t="str">
        <x:v>Global deep-sea</x:v>
      </x:c>
      <x:c r="L11" s="10"/>
      <x:c r="M11" s="10" t="n">
        <x:f>COUNTIF('Navires hiérarchisés V5'!$B$2:$B$229,B11)</x:f>
        <x:v>0</x:v>
      </x:c>
      <x:c r="N11" s="10" t="str">
        <x:f>IF(M11&gt;0,"OUI","NON")</x:f>
        <x:v>NON</x:v>
      </x:c>
      <x:c r="O11" s="10" t="str">
        <x:v>https://alphaliner.axsmarine.com/PublicTop100//</x:v>
      </x:c>
      <x:c r="P11" s="10" t="str">
        <x:v>A - Filiales consolidées listées publiquement par Alphaliner</x:v>
      </x:c>
      <x:c r="Q11" s="10" t="str">
        <x:v>NON</x:v>
      </x:c>
    </x:row>
    <x:row r="12">
      <x:c r="A12" s="10" t="str">
        <x:v>G002</x:v>
      </x:c>
      <x:c r="B12" s="10" t="str">
        <x:v>G002-F07</x:v>
      </x:c>
      <x:c r="C12" s="10" t="str">
        <x:v>↳</x:v>
      </x:c>
      <x:c r="D12" s="10" t="str">
        <x:v>FILIALE / MARQUE / ENTITÉ</x:v>
      </x:c>
      <x:c r="E12" s="10" t="str">
        <x:v>Sealand Europe &amp; Med</x:v>
      </x:c>
      <x:c r="F12" s="10" t="str">
        <x:v>Maersk (A.P. Moller-Maersk)</x:v>
      </x:c>
      <x:c r="G12" s="10" t="str">
        <x:v>Marque / entité consolidée</x:v>
      </x:c>
      <x:c r="H12" s="10" t="str">
        <x:v>Consolidée dans le groupe</x:v>
      </x:c>
      <x:c r="I12" s="10" t="str">
        <x:v>EU-A</x:v>
      </x:c>
      <x:c r="J12" s="10" t="str">
        <x:v>Danemark / Copenhague</x:v>
      </x:c>
      <x:c r="K12" s="10" t="str">
        <x:v>Global deep-sea</x:v>
      </x:c>
      <x:c r="L12" s="10"/>
      <x:c r="M12" s="10" t="n">
        <x:f>COUNTIF('Navires hiérarchisés V5'!$B$2:$B$229,B12)</x:f>
        <x:v>0</x:v>
      </x:c>
      <x:c r="N12" s="10" t="str">
        <x:f>IF(M12&gt;0,"OUI","NON")</x:f>
        <x:v>NON</x:v>
      </x:c>
      <x:c r="O12" s="10" t="str">
        <x:v>https://alphaliner.axsmarine.com/PublicTop100//</x:v>
      </x:c>
      <x:c r="P12" s="10" t="str">
        <x:v>A - Filiales consolidées listées publiquement par Alphaliner</x:v>
      </x:c>
      <x:c r="Q12" s="10" t="str">
        <x:v>NON</x:v>
      </x:c>
    </x:row>
    <x:row r="13">
      <x:c r="A13" s="10" t="str">
        <x:v>G003</x:v>
      </x:c>
      <x:c r="B13" s="10" t="str">
        <x:v>G003</x:v>
      </x:c>
      <x:c r="C13" s="10" t="str">
        <x:v>🏢</x:v>
      </x:c>
      <x:c r="D13" s="10" t="str">
        <x:v>MAISON MÈRE / GROUPE</x:v>
      </x:c>
      <x:c r="E13" s="10" t="str">
        <x:v>CMA CGM Group</x:v>
      </x:c>
      <x:c r="F13" s="10" t="str">
        <x:v>CMA CGM Group</x:v>
      </x:c>
      <x:c r="G13" s="10" t="str"/>
      <x:c r="H13" s="10" t="str">
        <x:v>Groupe de rattachement</x:v>
      </x:c>
      <x:c r="I13" s="10" t="str">
        <x:v>EU-A</x:v>
      </x:c>
      <x:c r="J13" s="10" t="str">
        <x:v>France / Marseille</x:v>
      </x:c>
      <x:c r="K13" s="10" t="str">
        <x:v>Global deep-sea</x:v>
      </x:c>
      <x:c r="L13" s="10" t="n">
        <x:v>10</x:v>
      </x:c>
      <x:c r="M13" s="10" t="n">
        <x:f>COUNTIF('Navires hiérarchisés V5'!$A$2:$A$229,A13)</x:f>
        <x:v>62</x:v>
      </x:c>
      <x:c r="N13" s="10" t="str">
        <x:f>IF(M13&gt;0,"OUI","NON")</x:f>
        <x:v>OUI</x:v>
      </x:c>
      <x:c r="O13" s="10" t="str">
        <x:v>https://alphaliner.axsmarine.com/PublicTop100//</x:v>
      </x:c>
      <x:c r="P13" s="10" t="str">
        <x:v>A - Filiales consolidées listées publiquement par Alphaliner</x:v>
      </x:c>
      <x:c r="Q13" s="10" t="str">
        <x:v>OUI</x:v>
      </x:c>
    </x:row>
    <x:row r="14">
      <x:c r="A14" s="10" t="str">
        <x:v>G003</x:v>
      </x:c>
      <x:c r="B14" s="10" t="str">
        <x:v>G003-F01</x:v>
      </x:c>
      <x:c r="C14" s="10" t="str">
        <x:v>↳</x:v>
      </x:c>
      <x:c r="D14" s="10" t="str">
        <x:v>FILIALE / MARQUE / ENTITÉ</x:v>
      </x:c>
      <x:c r="E14" s="10" t="str">
        <x:v>ANL</x:v>
      </x:c>
      <x:c r="F14" s="10" t="str">
        <x:v>CMA CGM Group</x:v>
      </x:c>
      <x:c r="G14" s="10" t="str">
        <x:v>Marque / filiale consolidée</x:v>
      </x:c>
      <x:c r="H14" s="10" t="str">
        <x:v>Consolidée / marque du groupe</x:v>
      </x:c>
      <x:c r="I14" s="10" t="str">
        <x:v>EU-A</x:v>
      </x:c>
      <x:c r="J14" s="10" t="str">
        <x:v>France / Marseille</x:v>
      </x:c>
      <x:c r="K14" s="10" t="str">
        <x:v>Global deep-sea</x:v>
      </x:c>
      <x:c r="L14" s="10"/>
      <x:c r="M14" s="10" t="n">
        <x:f>COUNTIF('Navires hiérarchisés V5'!$B$2:$B$229,B14)</x:f>
        <x:v>0</x:v>
      </x:c>
      <x:c r="N14" s="10" t="str">
        <x:f>IF(M14&gt;0,"OUI","NON")</x:f>
        <x:v>NON</x:v>
      </x:c>
      <x:c r="O14" s="10" t="str">
        <x:v>https://alphaliner.axsmarine.com/PublicTop100// | https://alphaliner.axsmarine.com/PublicTop100// | https://www.cmacgm-group.com/en/subsidiaries</x:v>
      </x:c>
      <x:c r="P14" s="10" t="str">
        <x:v>A - Filiales consolidées listées publiquement par Alphaliner</x:v>
      </x:c>
      <x:c r="Q14" s="10" t="str">
        <x:v>NON</x:v>
      </x:c>
    </x:row>
    <x:row r="15">
      <x:c r="A15" s="10" t="str">
        <x:v>G003</x:v>
      </x:c>
      <x:c r="B15" s="10" t="str">
        <x:v>G003-F02</x:v>
      </x:c>
      <x:c r="C15" s="10" t="str">
        <x:v>↳</x:v>
      </x:c>
      <x:c r="D15" s="10" t="str">
        <x:v>FILIALE / MARQUE / ENTITÉ</x:v>
      </x:c>
      <x:c r="E15" s="10" t="str">
        <x:v>APL</x:v>
      </x:c>
      <x:c r="F15" s="10" t="str">
        <x:v>CMA CGM Group</x:v>
      </x:c>
      <x:c r="G15" s="10" t="str">
        <x:v>Marque / filiale consolidée</x:v>
      </x:c>
      <x:c r="H15" s="10" t="str">
        <x:v>Consolidée / marque du groupe</x:v>
      </x:c>
      <x:c r="I15" s="10" t="str">
        <x:v>EU-A</x:v>
      </x:c>
      <x:c r="J15" s="10" t="str">
        <x:v>France / Marseille</x:v>
      </x:c>
      <x:c r="K15" s="10" t="str">
        <x:v>Global deep-sea</x:v>
      </x:c>
      <x:c r="L15" s="10"/>
      <x:c r="M15" s="10" t="n">
        <x:f>COUNTIF('Navires hiérarchisés V5'!$B$2:$B$229,B15)</x:f>
        <x:v>11</x:v>
      </x:c>
      <x:c r="N15" s="10" t="str">
        <x:f>IF(M15&gt;0,"OUI","NON")</x:f>
        <x:v>OUI</x:v>
      </x:c>
      <x:c r="O15" s="10" t="str">
        <x:v>https://alphaliner.axsmarine.com/PublicTop100// | https://alphaliner.axsmarine.com/PublicTop100// | https://www.cmacgm-group.com/en/subsidiaries</x:v>
      </x:c>
      <x:c r="P15" s="10" t="str">
        <x:v>A - Filiales consolidées listées publiquement par Alphaliner</x:v>
      </x:c>
      <x:c r="Q15" s="10" t="str">
        <x:v>NON</x:v>
      </x:c>
    </x:row>
    <x:row r="16">
      <x:c r="A16" s="10" t="str">
        <x:v>G003</x:v>
      </x:c>
      <x:c r="B16" s="10" t="str">
        <x:v>G003-F03</x:v>
      </x:c>
      <x:c r="C16" s="10" t="str">
        <x:v>↳</x:v>
      </x:c>
      <x:c r="D16" s="10" t="str">
        <x:v>FILIALE / MARQUE / ENTITÉ</x:v>
      </x:c>
      <x:c r="E16" s="10" t="str">
        <x:v>CMA CGM</x:v>
      </x:c>
      <x:c r="F16" s="10" t="str">
        <x:v>CMA CGM Group</x:v>
      </x:c>
      <x:c r="G16" s="10" t="str">
        <x:v>Transporteur global du groupe</x:v>
      </x:c>
      <x:c r="H16" s="10" t="str">
        <x:v>Consolidée dans le groupe</x:v>
      </x:c>
      <x:c r="I16" s="10" t="str">
        <x:v>EU-A</x:v>
      </x:c>
      <x:c r="J16" s="10" t="str">
        <x:v>France / Marseille</x:v>
      </x:c>
      <x:c r="K16" s="10" t="str">
        <x:v>Global deep-sea</x:v>
      </x:c>
      <x:c r="L16" s="10"/>
      <x:c r="M16" s="10" t="n">
        <x:f>COUNTIF('Navires hiérarchisés V5'!$B$2:$B$229,B16)</x:f>
        <x:v>50</x:v>
      </x:c>
      <x:c r="N16" s="10" t="str">
        <x:f>IF(M16&gt;0,"OUI","NON")</x:f>
        <x:v>OUI</x:v>
      </x:c>
      <x:c r="O16" s="10" t="str">
        <x:v>https://alphaliner.axsmarine.com/PublicTop100//</x:v>
      </x:c>
      <x:c r="P16" s="10" t="str">
        <x:v>A - Filiales consolidées listées publiquement par Alphaliner</x:v>
      </x:c>
      <x:c r="Q16" s="10" t="str">
        <x:v>NON</x:v>
      </x:c>
    </x:row>
    <x:row r="17">
      <x:c r="A17" s="10" t="str">
        <x:v>G003</x:v>
      </x:c>
      <x:c r="B17" s="10" t="str">
        <x:v>G003-F04</x:v>
      </x:c>
      <x:c r="C17" s="10" t="str">
        <x:v>↳</x:v>
      </x:c>
      <x:c r="D17" s="10" t="str">
        <x:v>FILIALE / MARQUE / ENTITÉ</x:v>
      </x:c>
      <x:c r="E17" s="10" t="str">
        <x:v>CNC</x:v>
      </x:c>
      <x:c r="F17" s="10" t="str">
        <x:v>CMA CGM Group</x:v>
      </x:c>
      <x:c r="G17" s="10" t="str">
        <x:v>Marque / filiale consolidée</x:v>
      </x:c>
      <x:c r="H17" s="10" t="str">
        <x:v>Consolidée / marque du groupe</x:v>
      </x:c>
      <x:c r="I17" s="10" t="str">
        <x:v>EU-A</x:v>
      </x:c>
      <x:c r="J17" s="10" t="str">
        <x:v>France / Marseille</x:v>
      </x:c>
      <x:c r="K17" s="10" t="str">
        <x:v>Global deep-sea</x:v>
      </x:c>
      <x:c r="L17" s="10"/>
      <x:c r="M17" s="10" t="n">
        <x:f>COUNTIF('Navires hiérarchisés V5'!$B$2:$B$229,B17)</x:f>
        <x:v>0</x:v>
      </x:c>
      <x:c r="N17" s="10" t="str">
        <x:f>IF(M17&gt;0,"OUI","NON")</x:f>
        <x:v>NON</x:v>
      </x:c>
      <x:c r="O17" s="10" t="str">
        <x:v>https://alphaliner.axsmarine.com/PublicTop100// | https://alphaliner.axsmarine.com/PublicTop100// | https://www.cmacgm-group.com/en/subsidiaries</x:v>
      </x:c>
      <x:c r="P17" s="10" t="str">
        <x:v>A - Filiales consolidées listées publiquement par Alphaliner</x:v>
      </x:c>
      <x:c r="Q17" s="10" t="str">
        <x:v>NON</x:v>
      </x:c>
    </x:row>
    <x:row r="18">
      <x:c r="A18" s="10" t="str">
        <x:v>G003</x:v>
      </x:c>
      <x:c r="B18" s="10" t="str">
        <x:v>G003-F05</x:v>
      </x:c>
      <x:c r="C18" s="10" t="str">
        <x:v>↳</x:v>
      </x:c>
      <x:c r="D18" s="10" t="str">
        <x:v>FILIALE / MARQUE / ENTITÉ</x:v>
      </x:c>
      <x:c r="E18" s="10" t="str">
        <x:v>CoMaNav</x:v>
      </x:c>
      <x:c r="F18" s="10" t="str">
        <x:v>CMA CGM Group</x:v>
      </x:c>
      <x:c r="G18" s="10" t="str">
        <x:v>Filiale / marque consolidée</x:v>
      </x:c>
      <x:c r="H18" s="10" t="str">
        <x:v>Consolidée / marque du groupe</x:v>
      </x:c>
      <x:c r="I18" s="10" t="str">
        <x:v>EU-A</x:v>
      </x:c>
      <x:c r="J18" s="10" t="str">
        <x:v>France / Marseille</x:v>
      </x:c>
      <x:c r="K18" s="10" t="str">
        <x:v>Global deep-sea</x:v>
      </x:c>
      <x:c r="L18" s="10"/>
      <x:c r="M18" s="10" t="n">
        <x:f>COUNTIF('Navires hiérarchisés V5'!$B$2:$B$229,B18)</x:f>
        <x:v>0</x:v>
      </x:c>
      <x:c r="N18" s="10" t="str">
        <x:f>IF(M18&gt;0,"OUI","NON")</x:f>
        <x:v>NON</x:v>
      </x:c>
      <x:c r="O18" s="10" t="str">
        <x:v>https://alphaliner.axsmarine.com/PublicTop100// | https://alphaliner.axsmarine.com/PublicTop100// | https://www.cmacgm-group.com/en/subsidiaries</x:v>
      </x:c>
      <x:c r="P18" s="10" t="str">
        <x:v>A - Filiales consolidées listées publiquement par Alphaliner</x:v>
      </x:c>
      <x:c r="Q18" s="10" t="str">
        <x:v>NON</x:v>
      </x:c>
    </x:row>
    <x:row r="19">
      <x:c r="A19" s="10" t="str">
        <x:v>G003</x:v>
      </x:c>
      <x:c r="B19" s="10" t="str">
        <x:v>G003-F06</x:v>
      </x:c>
      <x:c r="C19" s="10" t="str">
        <x:v>↳</x:v>
      </x:c>
      <x:c r="D19" s="10" t="str">
        <x:v>FILIALE / MARQUE / ENTITÉ</x:v>
      </x:c>
      <x:c r="E19" s="10" t="str">
        <x:v>Containerships</x:v>
      </x:c>
      <x:c r="F19" s="10" t="str">
        <x:v>CMA CGM Group</x:v>
      </x:c>
      <x:c r="G19" s="10" t="str">
        <x:v>Marque / filiale consolidée</x:v>
      </x:c>
      <x:c r="H19" s="10" t="str">
        <x:v>Consolidée / marque du groupe</x:v>
      </x:c>
      <x:c r="I19" s="10" t="str">
        <x:v>EU-A</x:v>
      </x:c>
      <x:c r="J19" s="10" t="str">
        <x:v>France / Marseille</x:v>
      </x:c>
      <x:c r="K19" s="10" t="str">
        <x:v>Global deep-sea</x:v>
      </x:c>
      <x:c r="L19" s="10"/>
      <x:c r="M19" s="10" t="n">
        <x:f>COUNTIF('Navires hiérarchisés V5'!$B$2:$B$229,B19)</x:f>
        <x:v>1</x:v>
      </x:c>
      <x:c r="N19" s="10" t="str">
        <x:f>IF(M19&gt;0,"OUI","NON")</x:f>
        <x:v>OUI</x:v>
      </x:c>
      <x:c r="O19" s="10" t="str">
        <x:v>https://alphaliner.axsmarine.com/PublicTop100//</x:v>
      </x:c>
      <x:c r="P19" s="10" t="str">
        <x:v>A - Filiales consolidées listées publiquement par Alphaliner</x:v>
      </x:c>
      <x:c r="Q19" s="10" t="str">
        <x:v>NON</x:v>
      </x:c>
    </x:row>
    <x:row r="20">
      <x:c r="A20" s="10" t="str">
        <x:v>G003</x:v>
      </x:c>
      <x:c r="B20" s="10" t="str">
        <x:v>G003-F07</x:v>
      </x:c>
      <x:c r="C20" s="10" t="str">
        <x:v>↳</x:v>
      </x:c>
      <x:c r="D20" s="10" t="str">
        <x:v>FILIALE / MARQUE / ENTITÉ</x:v>
      </x:c>
      <x:c r="E20" s="10" t="str">
        <x:v>Feeder Associate System</x:v>
      </x:c>
      <x:c r="F20" s="10" t="str">
        <x:v>CMA CGM Group</x:v>
      </x:c>
      <x:c r="G20" s="10" t="str">
        <x:v>Entité consolidée</x:v>
      </x:c>
      <x:c r="H20" s="10" t="str">
        <x:v>Consolidée dans le groupe</x:v>
      </x:c>
      <x:c r="I20" s="10" t="str">
        <x:v>EU-A</x:v>
      </x:c>
      <x:c r="J20" s="10" t="str">
        <x:v>France / Marseille</x:v>
      </x:c>
      <x:c r="K20" s="10" t="str">
        <x:v>Global deep-sea</x:v>
      </x:c>
      <x:c r="L20" s="10"/>
      <x:c r="M20" s="10" t="n">
        <x:f>COUNTIF('Navires hiérarchisés V5'!$B$2:$B$229,B20)</x:f>
        <x:v>0</x:v>
      </x:c>
      <x:c r="N20" s="10" t="str">
        <x:f>IF(M20&gt;0,"OUI","NON")</x:f>
        <x:v>NON</x:v>
      </x:c>
      <x:c r="O20" s="10" t="str">
        <x:v>https://alphaliner.axsmarine.com/PublicTop100//</x:v>
      </x:c>
      <x:c r="P20" s="10" t="str">
        <x:v>A - Filiales consolidées listées publiquement par Alphaliner</x:v>
      </x:c>
      <x:c r="Q20" s="10" t="str">
        <x:v>NON</x:v>
      </x:c>
    </x:row>
    <x:row r="21">
      <x:c r="A21" s="10" t="str">
        <x:v>G003</x:v>
      </x:c>
      <x:c r="B21" s="10" t="str">
        <x:v>G003-F08</x:v>
      </x:c>
      <x:c r="C21" s="10" t="str">
        <x:v>↳</x:v>
      </x:c>
      <x:c r="D21" s="10" t="str">
        <x:v>FILIALE / MARQUE / ENTITÉ</x:v>
      </x:c>
      <x:c r="E21" s="10" t="str">
        <x:v>MacAndrews</x:v>
      </x:c>
      <x:c r="F21" s="10" t="str">
        <x:v>CMA CGM Group</x:v>
      </x:c>
      <x:c r="G21" s="10" t="str">
        <x:v>Ancienne marque consolidée</x:v>
      </x:c>
      <x:c r="H21" s="10" t="str">
        <x:v>Historique / intégrée au groupe</x:v>
      </x:c>
      <x:c r="I21" s="10" t="str">
        <x:v>EU-A</x:v>
      </x:c>
      <x:c r="J21" s="10" t="str">
        <x:v>France / Marseille</x:v>
      </x:c>
      <x:c r="K21" s="10" t="str">
        <x:v>Global deep-sea</x:v>
      </x:c>
      <x:c r="L21" s="10"/>
      <x:c r="M21" s="10" t="n">
        <x:f>COUNTIF('Navires hiérarchisés V5'!$B$2:$B$229,B21)</x:f>
        <x:v>0</x:v>
      </x:c>
      <x:c r="N21" s="10" t="str">
        <x:f>IF(M21&gt;0,"OUI","NON")</x:f>
        <x:v>NON</x:v>
      </x:c>
      <x:c r="O21" s="10" t="str">
        <x:v>https://alphaliner.axsmarine.com/PublicTop100// | https://www.cmacgm-group.com/en/news-media/containerships-new-multimodal-transport-intra-european-leader</x:v>
      </x:c>
      <x:c r="P21" s="10" t="str">
        <x:v>A - Filiales consolidées listées publiquement par Alphaliner</x:v>
      </x:c>
      <x:c r="Q21" s="10" t="str">
        <x:v>NON</x:v>
      </x:c>
    </x:row>
    <x:row r="22">
      <x:c r="A22" s="10" t="str">
        <x:v>G003</x:v>
      </x:c>
      <x:c r="B22" s="10" t="str">
        <x:v>G003-F09</x:v>
      </x:c>
      <x:c r="C22" s="10" t="str">
        <x:v>↳</x:v>
      </x:c>
      <x:c r="D22" s="10" t="str">
        <x:v>FILIALE / MARQUE / ENTITÉ</x:v>
      </x:c>
      <x:c r="E22" s="10" t="str">
        <x:v>Mercosul Line</x:v>
      </x:c>
      <x:c r="F22" s="10" t="str">
        <x:v>CMA CGM Group</x:v>
      </x:c>
      <x:c r="G22" s="10" t="str">
        <x:v>Marque / filiale consolidée</x:v>
      </x:c>
      <x:c r="H22" s="10" t="str">
        <x:v>Consolidée / marque du groupe</x:v>
      </x:c>
      <x:c r="I22" s="10" t="str">
        <x:v>EU-A</x:v>
      </x:c>
      <x:c r="J22" s="10" t="str">
        <x:v>France / Marseille</x:v>
      </x:c>
      <x:c r="K22" s="10" t="str">
        <x:v>Global deep-sea</x:v>
      </x:c>
      <x:c r="L22" s="10"/>
      <x:c r="M22" s="10" t="n">
        <x:f>COUNTIF('Navires hiérarchisés V5'!$B$2:$B$229,B22)</x:f>
        <x:v>0</x:v>
      </x:c>
      <x:c r="N22" s="10" t="str">
        <x:f>IF(M22&gt;0,"OUI","NON")</x:f>
        <x:v>NON</x:v>
      </x:c>
      <x:c r="O22" s="10" t="str">
        <x:v>https://alphaliner.axsmarine.com/PublicTop100// | https://alphaliner.axsmarine.com/PublicTop100// | https://www.cmacgm-group.com/en/subsidiaries</x:v>
      </x:c>
      <x:c r="P22" s="10" t="str">
        <x:v>A - Filiales consolidées listées publiquement par Alphaliner</x:v>
      </x:c>
      <x:c r="Q22" s="10" t="str">
        <x:v>NON</x:v>
      </x:c>
    </x:row>
    <x:row r="23">
      <x:c r="A23" s="10" t="str">
        <x:v>G003</x:v>
      </x:c>
      <x:c r="B23" s="10" t="str">
        <x:v>G003-F10</x:v>
      </x:c>
      <x:c r="C23" s="10" t="str">
        <x:v>↳</x:v>
      </x:c>
      <x:c r="D23" s="10" t="str">
        <x:v>FILIALE / MARQUE / ENTITÉ</x:v>
      </x:c>
      <x:c r="E23" s="10" t="str">
        <x:v>Sofrana</x:v>
      </x:c>
      <x:c r="F23" s="10" t="str">
        <x:v>CMA CGM Group</x:v>
      </x:c>
      <x:c r="G23" s="10" t="str">
        <x:v>Filiale / marque consolidée</x:v>
      </x:c>
      <x:c r="H23" s="10" t="str">
        <x:v>Consolidée / marque du groupe</x:v>
      </x:c>
      <x:c r="I23" s="10" t="str">
        <x:v>EU-A</x:v>
      </x:c>
      <x:c r="J23" s="10" t="str">
        <x:v>France / Marseille</x:v>
      </x:c>
      <x:c r="K23" s="10" t="str">
        <x:v>Global deep-sea</x:v>
      </x:c>
      <x:c r="L23" s="10"/>
      <x:c r="M23" s="10" t="n">
        <x:f>COUNTIF('Navires hiérarchisés V5'!$B$2:$B$229,B23)</x:f>
        <x:v>0</x:v>
      </x:c>
      <x:c r="N23" s="10" t="str">
        <x:f>IF(M23&gt;0,"OUI","NON")</x:f>
        <x:v>NON</x:v>
      </x:c>
      <x:c r="O23" s="10" t="str">
        <x:v>https://cmacgm-group.com/en/news-media/cma-cgm-strengthen-its-operations-south-pacific-acquisition-sofrana-unilines | https://alphaliner.axsmarine.com/PublicTop100// | https://cmacgm-group.com/en/news-media/cma-cgm-strengthen-its-operations-south-pacific-acquisition-sofrana-unilines</x:v>
      </x:c>
      <x:c r="P23" s="10" t="str">
        <x:v>A - Filiales consolidées listées publiquement par Alphaliner</x:v>
      </x:c>
      <x:c r="Q23" s="10" t="str">
        <x:v>NON</x:v>
      </x:c>
    </x:row>
    <x:row r="24">
      <x:c r="A24" s="10" t="str">
        <x:v>G004</x:v>
      </x:c>
      <x:c r="B24" s="10" t="str">
        <x:v>G004</x:v>
      </x:c>
      <x:c r="C24" s="10" t="str">
        <x:v>🏢</x:v>
      </x:c>
      <x:c r="D24" s="10" t="str">
        <x:v>MAISON MÈRE / GROUPE</x:v>
      </x:c>
      <x:c r="E24" s="10" t="str">
        <x:v>COSCO Shipping Lines / COSCO Group</x:v>
      </x:c>
      <x:c r="F24" s="10" t="str">
        <x:v>COSCO Shipping Lines / COSCO Group</x:v>
      </x:c>
      <x:c r="G24" s="10" t="str"/>
      <x:c r="H24" s="10" t="str">
        <x:v>Groupe de rattachement</x:v>
      </x:c>
      <x:c r="I24" s="10" t="str">
        <x:v>EU-A</x:v>
      </x:c>
      <x:c r="J24" s="10" t="str">
        <x:v>Chine / Shanghai</x:v>
      </x:c>
      <x:c r="K24" s="10" t="str">
        <x:v>Global deep-sea</x:v>
      </x:c>
      <x:c r="L24" s="10" t="n">
        <x:v>7</x:v>
      </x:c>
      <x:c r="M24" s="10" t="n">
        <x:f>COUNTIF('Navires hiérarchisés V5'!$A$2:$A$229,A24)</x:f>
        <x:v>16</x:v>
      </x:c>
      <x:c r="N24" s="10" t="str">
        <x:f>IF(M24&gt;0,"OUI","NON")</x:f>
        <x:v>OUI</x:v>
      </x:c>
      <x:c r="O24" s="10" t="str">
        <x:v>https://alphaliner.axsmarine.com/PublicTop100//</x:v>
      </x:c>
      <x:c r="P24" s="10" t="str">
        <x:v>A - Filiales consolidées listées publiquement par Alphaliner</x:v>
      </x:c>
      <x:c r="Q24" s="10" t="str">
        <x:v>OUI</x:v>
      </x:c>
    </x:row>
    <x:row r="25">
      <x:c r="A25" s="10" t="str">
        <x:v>G004</x:v>
      </x:c>
      <x:c r="B25" s="10" t="str">
        <x:v>G004-F01</x:v>
      </x:c>
      <x:c r="C25" s="10" t="str">
        <x:v>↳</x:v>
      </x:c>
      <x:c r="D25" s="10" t="str">
        <x:v>FILIALE / MARQUE / ENTITÉ</x:v>
      </x:c>
      <x:c r="E25" s="10" t="str">
        <x:v>Coheung</x:v>
      </x:c>
      <x:c r="F25" s="10" t="str">
        <x:v>COSCO Shipping Lines / COSCO Group</x:v>
      </x:c>
      <x:c r="G25" s="10" t="str">
        <x:v>Filiale consolidée</x:v>
      </x:c>
      <x:c r="H25" s="10" t="str">
        <x:v>Consolidée dans le groupe</x:v>
      </x:c>
      <x:c r="I25" s="10" t="str">
        <x:v>EU-A</x:v>
      </x:c>
      <x:c r="J25" s="10" t="str">
        <x:v>Chine / Shanghai</x:v>
      </x:c>
      <x:c r="K25" s="10" t="str">
        <x:v>Global deep-sea</x:v>
      </x:c>
      <x:c r="L25" s="10"/>
      <x:c r="M25" s="10" t="n">
        <x:f>COUNTIF('Navires hiérarchisés V5'!$B$2:$B$229,B25)</x:f>
        <x:v>0</x:v>
      </x:c>
      <x:c r="N25" s="10" t="str">
        <x:f>IF(M25&gt;0,"OUI","NON")</x:f>
        <x:v>NON</x:v>
      </x:c>
      <x:c r="O25" s="10" t="str">
        <x:v>https://alphaliner.axsmarine.com/PublicTop100//</x:v>
      </x:c>
      <x:c r="P25" s="10" t="str">
        <x:v>A - Filiales consolidées listées publiquement par Alphaliner</x:v>
      </x:c>
      <x:c r="Q25" s="10" t="str">
        <x:v>NON</x:v>
      </x:c>
    </x:row>
    <x:row r="26">
      <x:c r="A26" s="10" t="str">
        <x:v>G004</x:v>
      </x:c>
      <x:c r="B26" s="10" t="str">
        <x:v>G004-F02</x:v>
      </x:c>
      <x:c r="C26" s="10" t="str">
        <x:v>↳</x:v>
      </x:c>
      <x:c r="D26" s="10" t="str">
        <x:v>FILIALE / MARQUE / ENTITÉ</x:v>
      </x:c>
      <x:c r="E26" s="10" t="str">
        <x:v>COSCO Shipping Lines</x:v>
      </x:c>
      <x:c r="F26" s="10" t="str">
        <x:v>COSCO Shipping Lines / COSCO Group</x:v>
      </x:c>
      <x:c r="G26" s="10" t="str">
        <x:v>Entité opérationnelle consolidée</x:v>
      </x:c>
      <x:c r="H26" s="10" t="str">
        <x:v>Consolidée dans le groupe</x:v>
      </x:c>
      <x:c r="I26" s="10" t="str">
        <x:v>EU-A</x:v>
      </x:c>
      <x:c r="J26" s="10" t="str">
        <x:v>Chine / Shanghai</x:v>
      </x:c>
      <x:c r="K26" s="10" t="str">
        <x:v>Global deep-sea</x:v>
      </x:c>
      <x:c r="L26" s="10"/>
      <x:c r="M26" s="10" t="n">
        <x:f>COUNTIF('Navires hiérarchisés V5'!$B$2:$B$229,B26)</x:f>
        <x:v>6</x:v>
      </x:c>
      <x:c r="N26" s="10" t="str">
        <x:f>IF(M26&gt;0,"OUI","NON")</x:f>
        <x:v>OUI</x:v>
      </x:c>
      <x:c r="O26" s="10" t="str">
        <x:v>https://alphaliner.axsmarine.com/PublicTop100//</x:v>
      </x:c>
      <x:c r="P26" s="10" t="str">
        <x:v>A - Filiales consolidées listées publiquement par Alphaliner</x:v>
      </x:c>
      <x:c r="Q26" s="10" t="str">
        <x:v>NON</x:v>
      </x:c>
    </x:row>
    <x:row r="27">
      <x:c r="A27" s="10" t="str">
        <x:v>G004</x:v>
      </x:c>
      <x:c r="B27" s="10" t="str">
        <x:v>G004-F03</x:v>
      </x:c>
      <x:c r="C27" s="10" t="str">
        <x:v>↳</x:v>
      </x:c>
      <x:c r="D27" s="10" t="str">
        <x:v>FILIALE / MARQUE / ENTITÉ</x:v>
      </x:c>
      <x:c r="E27" s="10" t="str">
        <x:v>COSCO Shipping Specialized Carriers</x:v>
      </x:c>
      <x:c r="F27" s="10" t="str">
        <x:v>COSCO Shipping Lines / COSCO Group</x:v>
      </x:c>
      <x:c r="G27" s="10" t="str">
        <x:v>Entité consolidée</x:v>
      </x:c>
      <x:c r="H27" s="10" t="str">
        <x:v>Consolidée dans le groupe</x:v>
      </x:c>
      <x:c r="I27" s="10" t="str">
        <x:v>EU-A</x:v>
      </x:c>
      <x:c r="J27" s="10" t="str">
        <x:v>Chine / Shanghai</x:v>
      </x:c>
      <x:c r="K27" s="10" t="str">
        <x:v>Global deep-sea</x:v>
      </x:c>
      <x:c r="L27" s="10"/>
      <x:c r="M27" s="10" t="n">
        <x:f>COUNTIF('Navires hiérarchisés V5'!$B$2:$B$229,B27)</x:f>
        <x:v>0</x:v>
      </x:c>
      <x:c r="N27" s="10" t="str">
        <x:f>IF(M27&gt;0,"OUI","NON")</x:f>
        <x:v>NON</x:v>
      </x:c>
      <x:c r="O27" s="10" t="str">
        <x:v>https://alphaliner.axsmarine.com/PublicTop100//</x:v>
      </x:c>
      <x:c r="P27" s="10" t="str">
        <x:v>A - Filiales consolidées listées publiquement par Alphaliner</x:v>
      </x:c>
      <x:c r="Q27" s="10" t="str">
        <x:v>NON</x:v>
      </x:c>
    </x:row>
    <x:row r="28">
      <x:c r="A28" s="10" t="str">
        <x:v>G004</x:v>
      </x:c>
      <x:c r="B28" s="10" t="str">
        <x:v>G004-F04</x:v>
      </x:c>
      <x:c r="C28" s="10" t="str">
        <x:v>↳</x:v>
      </x:c>
      <x:c r="D28" s="10" t="str">
        <x:v>FILIALE / MARQUE / ENTITÉ</x:v>
      </x:c>
      <x:c r="E28" s="10" t="str">
        <x:v>Diamond Line</x:v>
      </x:c>
      <x:c r="F28" s="10" t="str">
        <x:v>COSCO Shipping Lines / COSCO Group</x:v>
      </x:c>
      <x:c r="G28" s="10" t="str">
        <x:v>Marque / filiale consolidée</x:v>
      </x:c>
      <x:c r="H28" s="10" t="str">
        <x:v>Consolidée / marque du groupe</x:v>
      </x:c>
      <x:c r="I28" s="10" t="str">
        <x:v>EU-A</x:v>
      </x:c>
      <x:c r="J28" s="10" t="str">
        <x:v>Chine / Shanghai</x:v>
      </x:c>
      <x:c r="K28" s="10" t="str">
        <x:v>Global deep-sea</x:v>
      </x:c>
      <x:c r="L28" s="10"/>
      <x:c r="M28" s="10" t="n">
        <x:f>COUNTIF('Navires hiérarchisés V5'!$B$2:$B$229,B28)</x:f>
        <x:v>0</x:v>
      </x:c>
      <x:c r="N28" s="10" t="str">
        <x:f>IF(M28&gt;0,"OUI","NON")</x:f>
        <x:v>NON</x:v>
      </x:c>
      <x:c r="O28" s="10" t="str">
        <x:v>https://alphaliner.axsmarine.com/PublicTop100//</x:v>
      </x:c>
      <x:c r="P28" s="10" t="str">
        <x:v>A - Filiales consolidées listées publiquement par Alphaliner</x:v>
      </x:c>
      <x:c r="Q28" s="10" t="str">
        <x:v>NON</x:v>
      </x:c>
    </x:row>
    <x:row r="29">
      <x:c r="A29" s="10" t="str">
        <x:v>G004</x:v>
      </x:c>
      <x:c r="B29" s="10" t="str">
        <x:v>G004-F05</x:v>
      </x:c>
      <x:c r="C29" s="10" t="str">
        <x:v>↳</x:v>
      </x:c>
      <x:c r="D29" s="10" t="str">
        <x:v>FILIALE / MARQUE / ENTITÉ</x:v>
      </x:c>
      <x:c r="E29" s="10" t="str">
        <x:v>New Golden Sea Shipping</x:v>
      </x:c>
      <x:c r="F29" s="10" t="str">
        <x:v>COSCO Shipping Lines / COSCO Group</x:v>
      </x:c>
      <x:c r="G29" s="10" t="str">
        <x:v>Filiale consolidée</x:v>
      </x:c>
      <x:c r="H29" s="10" t="str">
        <x:v>Consolidée / marque du groupe</x:v>
      </x:c>
      <x:c r="I29" s="10" t="str">
        <x:v>EU-A</x:v>
      </x:c>
      <x:c r="J29" s="10" t="str">
        <x:v>Chine / Shanghai</x:v>
      </x:c>
      <x:c r="K29" s="10" t="str">
        <x:v>Global deep-sea</x:v>
      </x:c>
      <x:c r="L29" s="10"/>
      <x:c r="M29" s="10" t="n">
        <x:f>COUNTIF('Navires hiérarchisés V5'!$B$2:$B$229,B29)</x:f>
        <x:v>0</x:v>
      </x:c>
      <x:c r="N29" s="10" t="str">
        <x:f>IF(M29&gt;0,"OUI","NON")</x:f>
        <x:v>NON</x:v>
      </x:c>
      <x:c r="O29" s="10" t="str">
        <x:v>https://alphaliner.axsmarine.com/PublicTop100//</x:v>
      </x:c>
      <x:c r="P29" s="10" t="str">
        <x:v>A - Filiales consolidées listées publiquement par Alphaliner</x:v>
      </x:c>
      <x:c r="Q29" s="10" t="str">
        <x:v>NON</x:v>
      </x:c>
    </x:row>
    <x:row r="30">
      <x:c r="A30" s="10" t="str">
        <x:v>G004</x:v>
      </x:c>
      <x:c r="B30" s="10" t="str">
        <x:v>G004-F06</x:v>
      </x:c>
      <x:c r="C30" s="10" t="str">
        <x:v>↳</x:v>
      </x:c>
      <x:c r="D30" s="10" t="str">
        <x:v>FILIALE / MARQUE / ENTITÉ</x:v>
      </x:c>
      <x:c r="E30" s="10" t="str">
        <x:v>OOCL</x:v>
      </x:c>
      <x:c r="F30" s="10" t="str">
        <x:v>COSCO Shipping Lines / COSCO Group</x:v>
      </x:c>
      <x:c r="G30" s="10" t="str">
        <x:v>Filiale / marque consolidée</x:v>
      </x:c>
      <x:c r="H30" s="10" t="str">
        <x:v>Consolidée / marque du groupe</x:v>
      </x:c>
      <x:c r="I30" s="10" t="str">
        <x:v>EU-A</x:v>
      </x:c>
      <x:c r="J30" s="10" t="str">
        <x:v>Chine / Shanghai</x:v>
      </x:c>
      <x:c r="K30" s="10" t="str">
        <x:v>Global deep-sea</x:v>
      </x:c>
      <x:c r="L30" s="10"/>
      <x:c r="M30" s="10" t="n">
        <x:f>COUNTIF('Navires hiérarchisés V5'!$B$2:$B$229,B30)</x:f>
        <x:v>10</x:v>
      </x:c>
      <x:c r="N30" s="10" t="str">
        <x:f>IF(M30&gt;0,"OUI","NON")</x:f>
        <x:v>OUI</x:v>
      </x:c>
      <x:c r="O30" s="10" t="str">
        <x:v>https://alphaliner.axsmarine.com/PublicTop100//</x:v>
      </x:c>
      <x:c r="P30" s="10" t="str">
        <x:v>A - Filiales consolidées listées publiquement par Alphaliner</x:v>
      </x:c>
      <x:c r="Q30" s="10" t="str">
        <x:v>NON</x:v>
      </x:c>
    </x:row>
    <x:row r="31">
      <x:c r="A31" s="10" t="str">
        <x:v>G004</x:v>
      </x:c>
      <x:c r="B31" s="10" t="str">
        <x:v>G004-F07</x:v>
      </x:c>
      <x:c r="C31" s="10" t="str">
        <x:v>↳</x:v>
      </x:c>
      <x:c r="D31" s="10" t="str">
        <x:v>FILIALE / MARQUE / ENTITÉ</x:v>
      </x:c>
      <x:c r="E31" s="10" t="str">
        <x:v>Shanghai Pan Asia Shipping</x:v>
      </x:c>
      <x:c r="F31" s="10" t="str">
        <x:v>COSCO Shipping Lines / COSCO Group</x:v>
      </x:c>
      <x:c r="G31" s="10" t="str">
        <x:v>Filiale consolidée</x:v>
      </x:c>
      <x:c r="H31" s="10" t="str">
        <x:v>Consolidée / marque du groupe</x:v>
      </x:c>
      <x:c r="I31" s="10" t="str">
        <x:v>EU-A</x:v>
      </x:c>
      <x:c r="J31" s="10" t="str">
        <x:v>Chine / Shanghai</x:v>
      </x:c>
      <x:c r="K31" s="10" t="str">
        <x:v>Global deep-sea</x:v>
      </x:c>
      <x:c r="L31" s="10"/>
      <x:c r="M31" s="10" t="n">
        <x:f>COUNTIF('Navires hiérarchisés V5'!$B$2:$B$229,B31)</x:f>
        <x:v>0</x:v>
      </x:c>
      <x:c r="N31" s="10" t="str">
        <x:f>IF(M31&gt;0,"OUI","NON")</x:f>
        <x:v>NON</x:v>
      </x:c>
      <x:c r="O31" s="10" t="str">
        <x:v>https://alphaliner.axsmarine.com/PublicTop100//</x:v>
      </x:c>
      <x:c r="P31" s="10" t="str">
        <x:v>A - Filiales consolidées listées publiquement par Alphaliner</x:v>
      </x:c>
      <x:c r="Q31" s="10" t="str">
        <x:v>NON</x:v>
      </x:c>
    </x:row>
    <x:row r="32">
      <x:c r="A32" s="10" t="str">
        <x:v>G005</x:v>
      </x:c>
      <x:c r="B32" s="10" t="str">
        <x:v>G005</x:v>
      </x:c>
      <x:c r="C32" s="10" t="str">
        <x:v>🏢</x:v>
      </x:c>
      <x:c r="D32" s="10" t="str">
        <x:v>MAISON MÈRE / GROUPE</x:v>
      </x:c>
      <x:c r="E32" s="10" t="str">
        <x:v>Hapag-Lloyd</x:v>
      </x:c>
      <x:c r="F32" s="10" t="str">
        <x:v>Hapag-Lloyd</x:v>
      </x:c>
      <x:c r="G32" s="10" t="str"/>
      <x:c r="H32" s="10" t="str">
        <x:v>Groupe de rattachement</x:v>
      </x:c>
      <x:c r="I32" s="10" t="str">
        <x:v>EU-A</x:v>
      </x:c>
      <x:c r="J32" s="10" t="str">
        <x:v>Allemagne / Hambourg</x:v>
      </x:c>
      <x:c r="K32" s="10" t="str">
        <x:v>Global deep-sea</x:v>
      </x:c>
      <x:c r="L32" s="10" t="n">
        <x:v>3</x:v>
      </x:c>
      <x:c r="M32" s="10" t="n">
        <x:f>COUNTIF('Navires hiérarchisés V5'!$A$2:$A$229,A32)</x:f>
        <x:v>15</x:v>
      </x:c>
      <x:c r="N32" s="10" t="str">
        <x:f>IF(M32&gt;0,"OUI","NON")</x:f>
        <x:v>OUI</x:v>
      </x:c>
      <x:c r="O32" s="10" t="str">
        <x:v>https://alphaliner.axsmarine.com/PublicTop100//</x:v>
      </x:c>
      <x:c r="P32" s="10" t="str">
        <x:v>A - Filiales consolidées listées publiquement par Alphaliner</x:v>
      </x:c>
      <x:c r="Q32" s="10" t="str">
        <x:v>OUI</x:v>
      </x:c>
    </x:row>
    <x:row r="33">
      <x:c r="A33" s="10" t="str">
        <x:v>G005</x:v>
      </x:c>
      <x:c r="B33" s="10" t="str">
        <x:v>G005-F01</x:v>
      </x:c>
      <x:c r="C33" s="10" t="str">
        <x:v>↳</x:v>
      </x:c>
      <x:c r="D33" s="10" t="str">
        <x:v>FILIALE / MARQUE / ENTITÉ</x:v>
      </x:c>
      <x:c r="E33" s="10" t="str">
        <x:v>DAL (Deutsche Afrika-Linien)</x:v>
      </x:c>
      <x:c r="F33" s="10" t="str">
        <x:v>Hapag-Lloyd</x:v>
      </x:c>
      <x:c r="G33" s="10" t="str">
        <x:v>Activité / marque intégrée</x:v>
      </x:c>
      <x:c r="H33" s="10" t="str">
        <x:v>Historique / intégrée au groupe</x:v>
      </x:c>
      <x:c r="I33" s="10" t="str">
        <x:v>EU-A</x:v>
      </x:c>
      <x:c r="J33" s="10" t="str">
        <x:v>Allemagne / Hambourg</x:v>
      </x:c>
      <x:c r="K33" s="10" t="str">
        <x:v>Global deep-sea</x:v>
      </x:c>
      <x:c r="L33" s="10"/>
      <x:c r="M33" s="10" t="n">
        <x:f>COUNTIF('Navires hiérarchisés V5'!$B$2:$B$229,B33)</x:f>
        <x:v>0</x:v>
      </x:c>
      <x:c r="N33" s="10" t="str">
        <x:f>IF(M33&gt;0,"OUI","NON")</x:f>
        <x:v>NON</x:v>
      </x:c>
      <x:c r="O33" s="10" t="str">
        <x:v>https://alphaliner.axsmarine.com/PublicTop100//</x:v>
      </x:c>
      <x:c r="P33" s="10" t="str">
        <x:v>A - Filiales consolidées listées publiquement par Alphaliner</x:v>
      </x:c>
      <x:c r="Q33" s="10" t="str">
        <x:v>NON</x:v>
      </x:c>
    </x:row>
    <x:row r="34">
      <x:c r="A34" s="10" t="str">
        <x:v>G005</x:v>
      </x:c>
      <x:c r="B34" s="10" t="str">
        <x:v>G005-F02</x:v>
      </x:c>
      <x:c r="C34" s="10" t="str">
        <x:v>↳</x:v>
      </x:c>
      <x:c r="D34" s="10" t="str">
        <x:v>FILIALE / MARQUE / ENTITÉ</x:v>
      </x:c>
      <x:c r="E34" s="10" t="str">
        <x:v>NileDutch</x:v>
      </x:c>
      <x:c r="F34" s="10" t="str">
        <x:v>Hapag-Lloyd</x:v>
      </x:c>
      <x:c r="G34" s="10" t="str">
        <x:v>Ancienne marque intégrée</x:v>
      </x:c>
      <x:c r="H34" s="10" t="str">
        <x:v>Historique / intégrée au groupe</x:v>
      </x:c>
      <x:c r="I34" s="10" t="str">
        <x:v>EU-A</x:v>
      </x:c>
      <x:c r="J34" s="10" t="str">
        <x:v>Allemagne / Hambourg</x:v>
      </x:c>
      <x:c r="K34" s="10" t="str">
        <x:v>Global deep-sea</x:v>
      </x:c>
      <x:c r="L34" s="10"/>
      <x:c r="M34" s="10" t="n">
        <x:f>COUNTIF('Navires hiérarchisés V5'!$B$2:$B$229,B34)</x:f>
        <x:v>0</x:v>
      </x:c>
      <x:c r="N34" s="10" t="str">
        <x:f>IF(M34&gt;0,"OUI","NON")</x:f>
        <x:v>NON</x:v>
      </x:c>
      <x:c r="O34" s="10" t="str">
        <x:v>https://alphaliner.axsmarine.com/PublicTop100//</x:v>
      </x:c>
      <x:c r="P34" s="10" t="str">
        <x:v>A - Filiales consolidées listées publiquement par Alphaliner</x:v>
      </x:c>
      <x:c r="Q34" s="10" t="str">
        <x:v>NON</x:v>
      </x:c>
    </x:row>
    <x:row r="35">
      <x:c r="A35" s="10" t="str">
        <x:v>G005</x:v>
      </x:c>
      <x:c r="B35" s="10" t="str">
        <x:v>G005-F03</x:v>
      </x:c>
      <x:c r="C35" s="10" t="str">
        <x:v>↳</x:v>
      </x:c>
      <x:c r="D35" s="10" t="str">
        <x:v>FILIALE / MARQUE / ENTITÉ</x:v>
      </x:c>
      <x:c r="E35" s="10" t="str">
        <x:v>UASC</x:v>
      </x:c>
      <x:c r="F35" s="10" t="str">
        <x:v>Hapag-Lloyd</x:v>
      </x:c>
      <x:c r="G35" s="10" t="str">
        <x:v>Ancien armateur intégré</x:v>
      </x:c>
      <x:c r="H35" s="10" t="str">
        <x:v>Historique / intégrée au groupe</x:v>
      </x:c>
      <x:c r="I35" s="10" t="str">
        <x:v>EU-A</x:v>
      </x:c>
      <x:c r="J35" s="10" t="str">
        <x:v>Allemagne / Hambourg</x:v>
      </x:c>
      <x:c r="K35" s="10" t="str">
        <x:v>Global deep-sea</x:v>
      </x:c>
      <x:c r="L35" s="10"/>
      <x:c r="M35" s="10" t="n">
        <x:f>COUNTIF('Navires hiérarchisés V5'!$B$2:$B$229,B35)</x:f>
        <x:v>0</x:v>
      </x:c>
      <x:c r="N35" s="10" t="str">
        <x:f>IF(M35&gt;0,"OUI","NON")</x:f>
        <x:v>NON</x:v>
      </x:c>
      <x:c r="O35" s="10" t="str">
        <x:v>https://alphaliner.axsmarine.com/PublicTop100//</x:v>
      </x:c>
      <x:c r="P35" s="10" t="str">
        <x:v>A - Filiales consolidées listées publiquement par Alphaliner</x:v>
      </x:c>
      <x:c r="Q35" s="10" t="str">
        <x:v>NON</x:v>
      </x:c>
    </x:row>
    <x:row r="36">
      <x:c r="A36" s="10" t="str">
        <x:v>G006</x:v>
      </x:c>
      <x:c r="B36" s="10" t="str">
        <x:v>G006</x:v>
      </x:c>
      <x:c r="C36" s="10" t="str">
        <x:v>🏢</x:v>
      </x:c>
      <x:c r="D36" s="10" t="str">
        <x:v>MAISON MÈRE / GROUPE</x:v>
      </x:c>
      <x:c r="E36" s="10" t="str">
        <x:v>Ocean Network Express (ONE)</x:v>
      </x:c>
      <x:c r="F36" s="10" t="str">
        <x:v>Ocean Network Express (ONE)</x:v>
      </x:c>
      <x:c r="G36" s="10" t="str"/>
      <x:c r="H36" s="10" t="str">
        <x:v>Groupe de rattachement</x:v>
      </x:c>
      <x:c r="I36" s="10" t="str">
        <x:v>EU-A</x:v>
      </x:c>
      <x:c r="J36" s="10" t="str">
        <x:v>Singapour / Singapour</x:v>
      </x:c>
      <x:c r="K36" s="10" t="str">
        <x:v>Global deep-sea</x:v>
      </x:c>
      <x:c r="L36" s="10" t="n">
        <x:v>0</x:v>
      </x:c>
      <x:c r="M36" s="10" t="n">
        <x:f>COUNTIF('Navires hiérarchisés V5'!$A$2:$A$229,A36)</x:f>
        <x:v>33</x:v>
      </x:c>
      <x:c r="N36" s="10" t="str">
        <x:f>IF(M36&gt;0,"OUI","NON")</x:f>
        <x:v>OUI</x:v>
      </x:c>
      <x:c r="O36" s="10" t="str">
        <x:v>https://one-line.com</x:v>
      </x:c>
      <x:c r="P36" s="10" t="str">
        <x:v>C - Aucune filiale maritime distincte identifiée dans les sources publiques utilisées</x:v>
      </x:c>
      <x:c r="Q36" s="10" t="str">
        <x:v>OUI</x:v>
      </x:c>
    </x:row>
    <x:row r="37">
      <x:c r="A37" s="10" t="str">
        <x:v>G007</x:v>
      </x:c>
      <x:c r="B37" s="10" t="str">
        <x:v>G007</x:v>
      </x:c>
      <x:c r="C37" s="10" t="str">
        <x:v>🏢</x:v>
      </x:c>
      <x:c r="D37" s="10" t="str">
        <x:v>MAISON MÈRE / GROUPE</x:v>
      </x:c>
      <x:c r="E37" s="10" t="str">
        <x:v>Evergreen Marine / Evergreen Line</x:v>
      </x:c>
      <x:c r="F37" s="10" t="str">
        <x:v>Evergreen Marine / Evergreen Line</x:v>
      </x:c>
      <x:c r="G37" s="10" t="str"/>
      <x:c r="H37" s="10" t="str">
        <x:v>Groupe de rattachement</x:v>
      </x:c>
      <x:c r="I37" s="10" t="str">
        <x:v>EU-A</x:v>
      </x:c>
      <x:c r="J37" s="10" t="str">
        <x:v>Taïwan / Taoyuan</x:v>
      </x:c>
      <x:c r="K37" s="10" t="str">
        <x:v>Global deep-sea</x:v>
      </x:c>
      <x:c r="L37" s="10" t="n">
        <x:v>2</x:v>
      </x:c>
      <x:c r="M37" s="10" t="n">
        <x:f>COUNTIF('Navires hiérarchisés V5'!$A$2:$A$229,A37)</x:f>
        <x:v>4</x:v>
      </x:c>
      <x:c r="N37" s="10" t="str">
        <x:f>IF(M37&gt;0,"OUI","NON")</x:f>
        <x:v>OUI</x:v>
      </x:c>
      <x:c r="O37" s="10" t="str">
        <x:v>https://alphaliner.axsmarine.com/PublicTop100//</x:v>
      </x:c>
      <x:c r="P37" s="10" t="str">
        <x:v>A - Filiales consolidées listées publiquement par Alphaliner</x:v>
      </x:c>
      <x:c r="Q37" s="10" t="str">
        <x:v>OUI</x:v>
      </x:c>
    </x:row>
    <x:row r="38">
      <x:c r="A38" s="10" t="str">
        <x:v>G007</x:v>
      </x:c>
      <x:c r="B38" s="10" t="str">
        <x:v>G007-F01</x:v>
      </x:c>
      <x:c r="C38" s="10" t="str">
        <x:v>↳</x:v>
      </x:c>
      <x:c r="D38" s="10" t="str">
        <x:v>FILIALE / MARQUE / ENTITÉ</x:v>
      </x:c>
      <x:c r="E38" s="10" t="str">
        <x:v>Evergreen Line</x:v>
      </x:c>
      <x:c r="F38" s="10" t="str">
        <x:v>Evergreen Marine / Evergreen Line</x:v>
      </x:c>
      <x:c r="G38" s="10" t="str">
        <x:v>Entité / marque consolidée</x:v>
      </x:c>
      <x:c r="H38" s="10" t="str">
        <x:v>Consolidée dans le groupe</x:v>
      </x:c>
      <x:c r="I38" s="10" t="str">
        <x:v>EU-A</x:v>
      </x:c>
      <x:c r="J38" s="10" t="str">
        <x:v>Taïwan / Taoyuan</x:v>
      </x:c>
      <x:c r="K38" s="10" t="str">
        <x:v>Global deep-sea</x:v>
      </x:c>
      <x:c r="L38" s="10"/>
      <x:c r="M38" s="10" t="n">
        <x:f>COUNTIF('Navires hiérarchisés V5'!$B$2:$B$229,B38)</x:f>
        <x:v>4</x:v>
      </x:c>
      <x:c r="N38" s="10" t="str">
        <x:f>IF(M38&gt;0,"OUI","NON")</x:f>
        <x:v>OUI</x:v>
      </x:c>
      <x:c r="O38" s="10" t="str">
        <x:v>https://alphaliner.axsmarine.com/PublicTop100//</x:v>
      </x:c>
      <x:c r="P38" s="10" t="str">
        <x:v>A - Filiales consolidées listées publiquement par Alphaliner</x:v>
      </x:c>
      <x:c r="Q38" s="10" t="str">
        <x:v>NON</x:v>
      </x:c>
    </x:row>
    <x:row r="39">
      <x:c r="A39" s="10" t="str">
        <x:v>G007</x:v>
      </x:c>
      <x:c r="B39" s="10" t="str">
        <x:v>G007-F02</x:v>
      </x:c>
      <x:c r="C39" s="10" t="str">
        <x:v>↳</x:v>
      </x:c>
      <x:c r="D39" s="10" t="str">
        <x:v>FILIALE / MARQUE / ENTITÉ</x:v>
      </x:c>
      <x:c r="E39" s="10" t="str">
        <x:v>Italia Marittima</x:v>
      </x:c>
      <x:c r="F39" s="10" t="str">
        <x:v>Evergreen Marine / Evergreen Line</x:v>
      </x:c>
      <x:c r="G39" s="10" t="str">
        <x:v>Filiale / marque consolidée</x:v>
      </x:c>
      <x:c r="H39" s="10" t="str">
        <x:v>Consolidée / marque du groupe</x:v>
      </x:c>
      <x:c r="I39" s="10" t="str">
        <x:v>EU-A</x:v>
      </x:c>
      <x:c r="J39" s="10" t="str">
        <x:v>Taïwan / Taoyuan</x:v>
      </x:c>
      <x:c r="K39" s="10" t="str">
        <x:v>Global deep-sea</x:v>
      </x:c>
      <x:c r="L39" s="10"/>
      <x:c r="M39" s="10" t="n">
        <x:f>COUNTIF('Navires hiérarchisés V5'!$B$2:$B$229,B39)</x:f>
        <x:v>0</x:v>
      </x:c>
      <x:c r="N39" s="10" t="str">
        <x:f>IF(M39&gt;0,"OUI","NON")</x:f>
        <x:v>NON</x:v>
      </x:c>
      <x:c r="O39" s="10" t="str">
        <x:v>https://alphaliner.axsmarine.com/PublicTop100//</x:v>
      </x:c>
      <x:c r="P39" s="10" t="str">
        <x:v>A - Filiales consolidées listées publiquement par Alphaliner</x:v>
      </x:c>
      <x:c r="Q39" s="10" t="str">
        <x:v>NON</x:v>
      </x:c>
    </x:row>
    <x:row r="40">
      <x:c r="A40" s="10" t="str">
        <x:v>G008</x:v>
      </x:c>
      <x:c r="B40" s="10" t="str">
        <x:v>G008</x:v>
      </x:c>
      <x:c r="C40" s="10" t="str">
        <x:v>🏢</x:v>
      </x:c>
      <x:c r="D40" s="10" t="str">
        <x:v>MAISON MÈRE / GROUPE</x:v>
      </x:c>
      <x:c r="E40" s="10" t="str">
        <x:v>HMM</x:v>
      </x:c>
      <x:c r="F40" s="10" t="str">
        <x:v>HMM</x:v>
      </x:c>
      <x:c r="G40" s="10" t="str"/>
      <x:c r="H40" s="10" t="str">
        <x:v>Groupe de rattachement</x:v>
      </x:c>
      <x:c r="I40" s="10" t="str">
        <x:v>EU-A</x:v>
      </x:c>
      <x:c r="J40" s="10" t="str">
        <x:v>Corée du Sud / Séoul</x:v>
      </x:c>
      <x:c r="K40" s="10" t="str">
        <x:v>Global deep-sea</x:v>
      </x:c>
      <x:c r="L40" s="10" t="n">
        <x:v>0</x:v>
      </x:c>
      <x:c r="M40" s="10" t="n">
        <x:f>COUNTIF('Navires hiérarchisés V5'!$A$2:$A$229,A40)</x:f>
        <x:v>3</x:v>
      </x:c>
      <x:c r="N40" s="10" t="str">
        <x:f>IF(M40&gt;0,"OUI","NON")</x:f>
        <x:v>OUI</x:v>
      </x:c>
      <x:c r="O40" s="10" t="str">
        <x:v>https://mm21.com</x:v>
      </x:c>
      <x:c r="P40" s="10" t="str">
        <x:v>C - Aucune filiale maritime distincte identifiée dans les sources publiques utilisées</x:v>
      </x:c>
      <x:c r="Q40" s="10" t="str">
        <x:v>OUI</x:v>
      </x:c>
    </x:row>
    <x:row r="41">
      <x:c r="A41" s="10" t="str">
        <x:v>G009</x:v>
      </x:c>
      <x:c r="B41" s="10" t="str">
        <x:v>G009</x:v>
      </x:c>
      <x:c r="C41" s="10" t="str">
        <x:v>🏢</x:v>
      </x:c>
      <x:c r="D41" s="10" t="str">
        <x:v>MAISON MÈRE / GROUPE</x:v>
      </x:c>
      <x:c r="E41" s="10" t="str">
        <x:v>Yang Ming Marine Transport</x:v>
      </x:c>
      <x:c r="F41" s="10" t="str">
        <x:v>Yang Ming Marine Transport</x:v>
      </x:c>
      <x:c r="G41" s="10" t="str"/>
      <x:c r="H41" s="10" t="str">
        <x:v>Groupe de rattachement</x:v>
      </x:c>
      <x:c r="I41" s="10" t="str">
        <x:v>EU-A</x:v>
      </x:c>
      <x:c r="J41" s="10" t="str">
        <x:v>Taïwan / Keelung</x:v>
      </x:c>
      <x:c r="K41" s="10" t="str">
        <x:v>Global deep-sea</x:v>
      </x:c>
      <x:c r="L41" s="10" t="n">
        <x:v>0</x:v>
      </x:c>
      <x:c r="M41" s="10" t="n">
        <x:f>COUNTIF('Navires hiérarchisés V5'!$A$2:$A$229,A41)</x:f>
        <x:v>1</x:v>
      </x:c>
      <x:c r="N41" s="10" t="str">
        <x:f>IF(M41&gt;0,"OUI","NON")</x:f>
        <x:v>OUI</x:v>
      </x:c>
      <x:c r="O41" s="10" t="str">
        <x:v>https://yangming.com</x:v>
      </x:c>
      <x:c r="P41" s="10" t="str">
        <x:v>C - Aucune filiale maritime distincte identifiée dans les sources publiques utilisées</x:v>
      </x:c>
      <x:c r="Q41" s="10" t="str">
        <x:v>OUI</x:v>
      </x:c>
    </x:row>
    <x:row r="42">
      <x:c r="A42" s="10" t="str">
        <x:v>G010</x:v>
      </x:c>
      <x:c r="B42" s="10" t="str">
        <x:v>G010</x:v>
      </x:c>
      <x:c r="C42" s="10" t="str">
        <x:v>🏢</x:v>
      </x:c>
      <x:c r="D42" s="10" t="str">
        <x:v>MAISON MÈRE / GROUPE</x:v>
      </x:c>
      <x:c r="E42" s="10" t="str">
        <x:v>ZIM Integrated Shipping Services</x:v>
      </x:c>
      <x:c r="F42" s="10" t="str">
        <x:v>ZIM Integrated Shipping Services</x:v>
      </x:c>
      <x:c r="G42" s="10" t="str"/>
      <x:c r="H42" s="10" t="str">
        <x:v>Groupe de rattachement</x:v>
      </x:c>
      <x:c r="I42" s="10" t="str">
        <x:v>EU-A</x:v>
      </x:c>
      <x:c r="J42" s="10" t="str">
        <x:v>Israël / Haïfa</x:v>
      </x:c>
      <x:c r="K42" s="10" t="str">
        <x:v>Global niche</x:v>
      </x:c>
      <x:c r="L42" s="10" t="n">
        <x:v>1</x:v>
      </x:c>
      <x:c r="M42" s="10" t="n">
        <x:f>COUNTIF('Navires hiérarchisés V5'!$A$2:$A$229,A42)</x:f>
        <x:v>1</x:v>
      </x:c>
      <x:c r="N42" s="10" t="str">
        <x:f>IF(M42&gt;0,"OUI","NON")</x:f>
        <x:v>OUI</x:v>
      </x:c>
      <x:c r="O42" s="10" t="str">
        <x:v>https://alphaliner.axsmarine.com/PublicTop100//</x:v>
      </x:c>
      <x:c r="P42" s="10" t="str">
        <x:v>A - Filiales consolidées listées publiquement par Alphaliner</x:v>
      </x:c>
      <x:c r="Q42" s="10" t="str">
        <x:v>OUI</x:v>
      </x:c>
    </x:row>
    <x:row r="43">
      <x:c r="A43" s="10" t="str">
        <x:v>G010</x:v>
      </x:c>
      <x:c r="B43" s="10" t="str">
        <x:v>G010-F01</x:v>
      </x:c>
      <x:c r="C43" s="10" t="str">
        <x:v>↳</x:v>
      </x:c>
      <x:c r="D43" s="10" t="str">
        <x:v>FILIALE / MARQUE / ENTITÉ</x:v>
      </x:c>
      <x:c r="E43" s="10" t="str">
        <x:v>Gold Star Line</x:v>
      </x:c>
      <x:c r="F43" s="10" t="str">
        <x:v>ZIM Integrated Shipping Services</x:v>
      </x:c>
      <x:c r="G43" s="10" t="str">
        <x:v>Marque / filiale consolidée</x:v>
      </x:c>
      <x:c r="H43" s="10" t="str">
        <x:v>Consolidée / marque du groupe</x:v>
      </x:c>
      <x:c r="I43" s="10" t="str">
        <x:v>EU-A</x:v>
      </x:c>
      <x:c r="J43" s="10" t="str">
        <x:v>Israël / Haïfa</x:v>
      </x:c>
      <x:c r="K43" s="10" t="str">
        <x:v>Global niche</x:v>
      </x:c>
      <x:c r="L43" s="10"/>
      <x:c r="M43" s="10" t="n">
        <x:f>COUNTIF('Navires hiérarchisés V5'!$B$2:$B$229,B43)</x:f>
        <x:v>0</x:v>
      </x:c>
      <x:c r="N43" s="10" t="str">
        <x:f>IF(M43&gt;0,"OUI","NON")</x:f>
        <x:v>NON</x:v>
      </x:c>
      <x:c r="O43" s="10" t="str">
        <x:v>https://alphaliner.axsmarine.com/PublicTop100//</x:v>
      </x:c>
      <x:c r="P43" s="10" t="str">
        <x:v>A - Filiales consolidées listées publiquement par Alphaliner</x:v>
      </x:c>
      <x:c r="Q43" s="10" t="str">
        <x:v>NON</x:v>
      </x:c>
    </x:row>
    <x:row r="44">
      <x:c r="A44" s="10" t="str">
        <x:v>G011</x:v>
      </x:c>
      <x:c r="B44" s="10" t="str">
        <x:v>G011</x:v>
      </x:c>
      <x:c r="C44" s="10" t="str">
        <x:v>🏢</x:v>
      </x:c>
      <x:c r="D44" s="10" t="str">
        <x:v>MAISON MÈRE / GROUPE</x:v>
      </x:c>
      <x:c r="E44" s="10" t="str">
        <x:v>Wan Hai Lines</x:v>
      </x:c>
      <x:c r="F44" s="10" t="str">
        <x:v>Wan Hai Lines</x:v>
      </x:c>
      <x:c r="G44" s="10" t="str"/>
      <x:c r="H44" s="10" t="str">
        <x:v>Groupe de rattachement</x:v>
      </x:c>
      <x:c r="I44" s="10" t="str">
        <x:v>EU-A</x:v>
      </x:c>
      <x:c r="J44" s="10" t="str">
        <x:v>Taïwan / Taipei</x:v>
      </x:c>
      <x:c r="K44" s="10" t="str">
        <x:v>Global / régional</x:v>
      </x:c>
      <x:c r="L44" s="10" t="n">
        <x:v>0</x:v>
      </x:c>
      <x:c r="M44" s="10" t="n">
        <x:f>COUNTIF('Navires hiérarchisés V5'!$A$2:$A$229,A44)</x:f>
        <x:v>0</x:v>
      </x:c>
      <x:c r="N44" s="10" t="str">
        <x:f>IF(M44&gt;0,"OUI","NON")</x:f>
        <x:v>NON</x:v>
      </x:c>
      <x:c r="O44" s="10" t="str">
        <x:v>https://wanhai.com</x:v>
      </x:c>
      <x:c r="P44" s="10" t="str">
        <x:v>C - Aucune filiale maritime distincte identifiée dans les sources publiques utilisées</x:v>
      </x:c>
      <x:c r="Q44" s="10" t="str">
        <x:v>OUI</x:v>
      </x:c>
    </x:row>
    <x:row r="45">
      <x:c r="A45" s="10" t="str">
        <x:v>G012</x:v>
      </x:c>
      <x:c r="B45" s="10" t="str">
        <x:v>G012</x:v>
      </x:c>
      <x:c r="C45" s="10" t="str">
        <x:v>🏢</x:v>
      </x:c>
      <x:c r="D45" s="10" t="str">
        <x:v>MAISON MÈRE / GROUPE</x:v>
      </x:c>
      <x:c r="E45" s="10" t="str">
        <x:v>PIL (Pacific International Lines)</x:v>
      </x:c>
      <x:c r="F45" s="10" t="str">
        <x:v>PIL (Pacific International Lines)</x:v>
      </x:c>
      <x:c r="G45" s="10" t="str"/>
      <x:c r="H45" s="10" t="str">
        <x:v>Groupe de rattachement</x:v>
      </x:c>
      <x:c r="I45" s="10" t="str">
        <x:v>NE</x:v>
      </x:c>
      <x:c r="J45" s="10" t="str">
        <x:v>Singapour / Singapour</x:v>
      </x:c>
      <x:c r="K45" s="10" t="str">
        <x:v>Global / régional</x:v>
      </x:c>
      <x:c r="L45" s="10" t="n">
        <x:v>2</x:v>
      </x:c>
      <x:c r="M45" s="10" t="n">
        <x:f>COUNTIF('Navires hiérarchisés V5'!$A$2:$A$229,A45)</x:f>
        <x:v>0</x:v>
      </x:c>
      <x:c r="N45" s="10" t="str">
        <x:f>IF(M45&gt;0,"OUI","NON")</x:f>
        <x:v>NON</x:v>
      </x:c>
      <x:c r="O45" s="10" t="str">
        <x:v>https://alphaliner.axsmarine.com/PublicTop100//</x:v>
      </x:c>
      <x:c r="P45" s="10" t="str">
        <x:v>A - Filiales consolidées listées publiquement par Alphaliner</x:v>
      </x:c>
      <x:c r="Q45" s="10" t="str">
        <x:v>OUI</x:v>
      </x:c>
    </x:row>
    <x:row r="46">
      <x:c r="A46" s="10" t="str">
        <x:v>G012</x:v>
      </x:c>
      <x:c r="B46" s="10" t="str">
        <x:v>G012-F01</x:v>
      </x:c>
      <x:c r="C46" s="10" t="str">
        <x:v>↳</x:v>
      </x:c>
      <x:c r="D46" s="10" t="str">
        <x:v>FILIALE / MARQUE / ENTITÉ</x:v>
      </x:c>
      <x:c r="E46" s="10" t="str">
        <x:v>Advance Container Line</x:v>
      </x:c>
      <x:c r="F46" s="10" t="str">
        <x:v>PIL (Pacific International Lines)</x:v>
      </x:c>
      <x:c r="G46" s="10" t="str">
        <x:v>Filiale / marque consolidée</x:v>
      </x:c>
      <x:c r="H46" s="10" t="str">
        <x:v>Consolidée / marque du groupe</x:v>
      </x:c>
      <x:c r="I46" s="10" t="str">
        <x:v>NE</x:v>
      </x:c>
      <x:c r="J46" s="10" t="str">
        <x:v>Singapour / Singapour</x:v>
      </x:c>
      <x:c r="K46" s="10" t="str">
        <x:v>Global / régional</x:v>
      </x:c>
      <x:c r="L46" s="10"/>
      <x:c r="M46" s="10" t="n">
        <x:f>COUNTIF('Navires hiérarchisés V5'!$B$2:$B$229,B46)</x:f>
        <x:v>0</x:v>
      </x:c>
      <x:c r="N46" s="10" t="str">
        <x:f>IF(M46&gt;0,"OUI","NON")</x:f>
        <x:v>NON</x:v>
      </x:c>
      <x:c r="O46" s="10" t="str">
        <x:v>https://alphaliner.axsmarine.com/PublicTop100//</x:v>
      </x:c>
      <x:c r="P46" s="10" t="str">
        <x:v>A - Filiales consolidées listées publiquement par Alphaliner</x:v>
      </x:c>
      <x:c r="Q46" s="10" t="str">
        <x:v>NON</x:v>
      </x:c>
    </x:row>
    <x:row r="47">
      <x:c r="A47" s="10" t="str">
        <x:v>G012</x:v>
      </x:c>
      <x:c r="B47" s="10" t="str">
        <x:v>G012-F02</x:v>
      </x:c>
      <x:c r="C47" s="10" t="str">
        <x:v>↳</x:v>
      </x:c>
      <x:c r="D47" s="10" t="str">
        <x:v>FILIALE / MARQUE / ENTITÉ</x:v>
      </x:c>
      <x:c r="E47" s="10" t="str">
        <x:v>Mariana Express Lines (MELL)</x:v>
      </x:c>
      <x:c r="F47" s="10" t="str">
        <x:v>PIL (Pacific International Lines)</x:v>
      </x:c>
      <x:c r="G47" s="10" t="str">
        <x:v>Filiale / marque consolidée</x:v>
      </x:c>
      <x:c r="H47" s="10" t="str">
        <x:v>Consolidée / marque du groupe</x:v>
      </x:c>
      <x:c r="I47" s="10" t="str">
        <x:v>NE</x:v>
      </x:c>
      <x:c r="J47" s="10" t="str">
        <x:v>Singapour / Singapour</x:v>
      </x:c>
      <x:c r="K47" s="10" t="str">
        <x:v>Global / régional</x:v>
      </x:c>
      <x:c r="L47" s="10"/>
      <x:c r="M47" s="10" t="n">
        <x:f>COUNTIF('Navires hiérarchisés V5'!$B$2:$B$229,B47)</x:f>
        <x:v>0</x:v>
      </x:c>
      <x:c r="N47" s="10" t="str">
        <x:f>IF(M47&gt;0,"OUI","NON")</x:f>
        <x:v>NON</x:v>
      </x:c>
      <x:c r="O47" s="10" t="str">
        <x:v>https://alphaliner.axsmarine.com/PublicTop100//</x:v>
      </x:c>
      <x:c r="P47" s="10" t="str">
        <x:v>A - Filiales consolidées listées publiquement par Alphaliner</x:v>
      </x:c>
      <x:c r="Q47" s="10" t="str">
        <x:v>NON</x:v>
      </x:c>
    </x:row>
    <x:row r="48">
      <x:c r="A48" s="10" t="str">
        <x:v>G013</x:v>
      </x:c>
      <x:c r="B48" s="10" t="str">
        <x:v>G013</x:v>
      </x:c>
      <x:c r="C48" s="10" t="str">
        <x:v>🏢</x:v>
      </x:c>
      <x:c r="D48" s="10" t="str">
        <x:v>MAISON MÈRE / GROUPE</x:v>
      </x:c>
      <x:c r="E48" s="10" t="str">
        <x:v>X-Press Feeders</x:v>
      </x:c>
      <x:c r="F48" s="10" t="str">
        <x:v>X-Press Feeders</x:v>
      </x:c>
      <x:c r="G48" s="10" t="str"/>
      <x:c r="H48" s="10" t="str">
        <x:v>Groupe de rattachement</x:v>
      </x:c>
      <x:c r="I48" s="10" t="str">
        <x:v>EU-A</x:v>
      </x:c>
      <x:c r="J48" s="10" t="str">
        <x:v>Singapour / Singapour</x:v>
      </x:c>
      <x:c r="K48" s="10" t="str">
        <x:v>Feeder mondial</x:v>
      </x:c>
      <x:c r="L48" s="10" t="n">
        <x:v>0</x:v>
      </x:c>
      <x:c r="M48" s="10" t="n">
        <x:f>COUNTIF('Navires hiérarchisés V5'!$A$2:$A$229,A48)</x:f>
        <x:v>1</x:v>
      </x:c>
      <x:c r="N48" s="10" t="str">
        <x:f>IF(M48&gt;0,"OUI","NON")</x:f>
        <x:v>OUI</x:v>
      </x:c>
      <x:c r="O48" s="10" t="str">
        <x:v>https://x-pressfeeders.com</x:v>
      </x:c>
      <x:c r="P48" s="10" t="str">
        <x:v>C - Aucune filiale maritime distincte identifiée dans les sources publiques utilisées</x:v>
      </x:c>
      <x:c r="Q48" s="10" t="str">
        <x:v>OUI</x:v>
      </x:c>
    </x:row>
    <x:row r="49">
      <x:c r="A49" s="10" t="str">
        <x:v>G014</x:v>
      </x:c>
      <x:c r="B49" s="10" t="str">
        <x:v>G014</x:v>
      </x:c>
      <x:c r="C49" s="10" t="str">
        <x:v>🏢</x:v>
      </x:c>
      <x:c r="D49" s="10" t="str">
        <x:v>MAISON MÈRE / GROUPE</x:v>
      </x:c>
      <x:c r="E49" s="10" t="str">
        <x:v>SITC International</x:v>
      </x:c>
      <x:c r="F49" s="10" t="str">
        <x:v>SITC International</x:v>
      </x:c>
      <x:c r="G49" s="10" t="str"/>
      <x:c r="H49" s="10" t="str">
        <x:v>Groupe de rattachement</x:v>
      </x:c>
      <x:c r="I49" s="10" t="str">
        <x:v>NE</x:v>
      </x:c>
      <x:c r="J49" s="10" t="str">
        <x:v>Chine / Hong Kong / Hong Kong</x:v>
      </x:c>
      <x:c r="K49" s="10" t="str">
        <x:v>Régional</x:v>
      </x:c>
      <x:c r="L49" s="10" t="n">
        <x:v>0</x:v>
      </x:c>
      <x:c r="M49" s="10" t="n">
        <x:f>COUNTIF('Navires hiérarchisés V5'!$A$2:$A$229,A49)</x:f>
        <x:v>0</x:v>
      </x:c>
      <x:c r="N49" s="10" t="str">
        <x:f>IF(M49&gt;0,"OUI","NON")</x:f>
        <x:v>NON</x:v>
      </x:c>
      <x:c r="O49" s="10" t="str">
        <x:v>https://itc.com</x:v>
      </x:c>
      <x:c r="P49" s="10" t="str">
        <x:v>C - Aucune filiale maritime distincte identifiée dans les sources publiques utilisées</x:v>
      </x:c>
      <x:c r="Q49" s="10" t="str">
        <x:v>OUI</x:v>
      </x:c>
    </x:row>
    <x:row r="50">
      <x:c r="A50" s="10" t="str">
        <x:v>G015</x:v>
      </x:c>
      <x:c r="B50" s="10" t="str">
        <x:v>G015</x:v>
      </x:c>
      <x:c r="C50" s="10" t="str">
        <x:v>🏢</x:v>
      </x:c>
      <x:c r="D50" s="10" t="str">
        <x:v>MAISON MÈRE / GROUPE</x:v>
      </x:c>
      <x:c r="E50" s="10" t="str">
        <x:v>KMTC (Korea Marine Transport)</x:v>
      </x:c>
      <x:c r="F50" s="10" t="str">
        <x:v>KMTC (Korea Marine Transport)</x:v>
      </x:c>
      <x:c r="G50" s="10" t="str"/>
      <x:c r="H50" s="10" t="str">
        <x:v>Groupe de rattachement</x:v>
      </x:c>
      <x:c r="I50" s="10" t="str">
        <x:v>NE</x:v>
      </x:c>
      <x:c r="J50" s="10" t="str">
        <x:v>Corée du Sud / Séoul</x:v>
      </x:c>
      <x:c r="K50" s="10" t="str">
        <x:v>Régional</x:v>
      </x:c>
      <x:c r="L50" s="10" t="n">
        <x:v>0</x:v>
      </x:c>
      <x:c r="M50" s="10" t="n">
        <x:f>COUNTIF('Navires hiérarchisés V5'!$A$2:$A$229,A50)</x:f>
        <x:v>0</x:v>
      </x:c>
      <x:c r="N50" s="10" t="str">
        <x:f>IF(M50&gt;0,"OUI","NON")</x:f>
        <x:v>NON</x:v>
      </x:c>
      <x:c r="O50" s="10" t="str">
        <x:v>https://kmtc.co.kr</x:v>
      </x:c>
      <x:c r="P50" s="10" t="str">
        <x:v>C - Aucune filiale maritime distincte identifiée dans les sources publiques utilisées</x:v>
      </x:c>
      <x:c r="Q50" s="10" t="str">
        <x:v>OUI</x:v>
      </x:c>
    </x:row>
    <x:row r="51">
      <x:c r="A51" s="10" t="str">
        <x:v>G016</x:v>
      </x:c>
      <x:c r="B51" s="10" t="str">
        <x:v>G016</x:v>
      </x:c>
      <x:c r="C51" s="10" t="str">
        <x:v>🏢</x:v>
      </x:c>
      <x:c r="D51" s="10" t="str">
        <x:v>MAISON MÈRE / GROUPE</x:v>
      </x:c>
      <x:c r="E51" s="10" t="str">
        <x:v>Unifeeder (DP World)</x:v>
      </x:c>
      <x:c r="F51" s="10" t="str">
        <x:v>Unifeeder (DP World)</x:v>
      </x:c>
      <x:c r="G51" s="10" t="str"/>
      <x:c r="H51" s="10" t="str">
        <x:v>Groupe de rattachement</x:v>
      </x:c>
      <x:c r="I51" s="10" t="str">
        <x:v>EU-A</x:v>
      </x:c>
      <x:c r="J51" s="10" t="str">
        <x:v>Danemark / Aarhus</x:v>
      </x:c>
      <x:c r="K51" s="10" t="str">
        <x:v>Feeder / short-sea</x:v>
      </x:c>
      <x:c r="L51" s="10" t="n">
        <x:v>5</x:v>
      </x:c>
      <x:c r="M51" s="10" t="n">
        <x:f>COUNTIF('Navires hiérarchisés V5'!$A$2:$A$229,A51)</x:f>
        <x:v>0</x:v>
      </x:c>
      <x:c r="N51" s="10" t="str">
        <x:f>IF(M51&gt;0,"OUI","NON")</x:f>
        <x:v>NON</x:v>
      </x:c>
      <x:c r="O51" s="10" t="str">
        <x:v>https://alphaliner.axsmarine.com/PublicTop100//</x:v>
      </x:c>
      <x:c r="P51" s="10" t="str">
        <x:v>A - Filiales consolidées listées publiquement par Alphaliner</x:v>
      </x:c>
      <x:c r="Q51" s="10" t="str">
        <x:v>OUI</x:v>
      </x:c>
    </x:row>
    <x:row r="52">
      <x:c r="A52" s="10" t="str">
        <x:v>G016</x:v>
      </x:c>
      <x:c r="B52" s="10" t="str">
        <x:v>G016-F01</x:v>
      </x:c>
      <x:c r="C52" s="10" t="str">
        <x:v>↳</x:v>
      </x:c>
      <x:c r="D52" s="10" t="str">
        <x:v>FILIALE / MARQUE / ENTITÉ</x:v>
      </x:c>
      <x:c r="E52" s="10" t="str">
        <x:v>Feedertech</x:v>
      </x:c>
      <x:c r="F52" s="10" t="str">
        <x:v>Unifeeder (DP World)</x:v>
      </x:c>
      <x:c r="G52" s="10" t="str">
        <x:v>Filiale / marque</x:v>
      </x:c>
      <x:c r="H52" s="10" t="str">
        <x:v>Consolidée / marque du groupe</x:v>
      </x:c>
      <x:c r="I52" s="10" t="str">
        <x:v>EU-A</x:v>
      </x:c>
      <x:c r="J52" s="10" t="str">
        <x:v>Danemark / Aarhus</x:v>
      </x:c>
      <x:c r="K52" s="10" t="str">
        <x:v>Feeder / short-sea</x:v>
      </x:c>
      <x:c r="L52" s="10"/>
      <x:c r="M52" s="10" t="n">
        <x:f>COUNTIF('Navires hiérarchisés V5'!$B$2:$B$229,B52)</x:f>
        <x:v>0</x:v>
      </x:c>
      <x:c r="N52" s="10" t="str">
        <x:f>IF(M52&gt;0,"OUI","NON")</x:f>
        <x:v>NON</x:v>
      </x:c>
      <x:c r="O52" s="10" t="str">
        <x:v>https://alphaliner.axsmarine.com/PublicTop100//</x:v>
      </x:c>
      <x:c r="P52" s="10" t="str">
        <x:v>A - Filiales consolidées listées publiquement par Alphaliner</x:v>
      </x:c>
      <x:c r="Q52" s="10" t="str">
        <x:v>NON</x:v>
      </x:c>
    </x:row>
    <x:row r="53">
      <x:c r="A53" s="10" t="str">
        <x:v>G016</x:v>
      </x:c>
      <x:c r="B53" s="10" t="str">
        <x:v>G016-F02</x:v>
      </x:c>
      <x:c r="C53" s="10" t="str">
        <x:v>↳</x:v>
      </x:c>
      <x:c r="D53" s="10" t="str">
        <x:v>FILIALE / MARQUE / ENTITÉ</x:v>
      </x:c>
      <x:c r="E53" s="10" t="str">
        <x:v>Shreyas Shipping</x:v>
      </x:c>
      <x:c r="F53" s="10" t="str">
        <x:v>Unifeeder (DP World)</x:v>
      </x:c>
      <x:c r="G53" s="10" t="str">
        <x:v>Filiale / marque</x:v>
      </x:c>
      <x:c r="H53" s="10" t="str">
        <x:v>Consolidée / marque du groupe</x:v>
      </x:c>
      <x:c r="I53" s="10" t="str">
        <x:v>EU-A</x:v>
      </x:c>
      <x:c r="J53" s="10" t="str">
        <x:v>Danemark / Aarhus</x:v>
      </x:c>
      <x:c r="K53" s="10" t="str">
        <x:v>Feeder / short-sea</x:v>
      </x:c>
      <x:c r="L53" s="10"/>
      <x:c r="M53" s="10" t="n">
        <x:f>COUNTIF('Navires hiérarchisés V5'!$B$2:$B$229,B53)</x:f>
        <x:v>0</x:v>
      </x:c>
      <x:c r="N53" s="10" t="str">
        <x:f>IF(M53&gt;0,"OUI","NON")</x:f>
        <x:v>NON</x:v>
      </x:c>
      <x:c r="O53" s="10" t="str">
        <x:v>https://alphaliner.axsmarine.com/PublicTop100//</x:v>
      </x:c>
      <x:c r="P53" s="10" t="str">
        <x:v>A - Filiales consolidées listées publiquement par Alphaliner</x:v>
      </x:c>
      <x:c r="Q53" s="10" t="str">
        <x:v>NON</x:v>
      </x:c>
    </x:row>
    <x:row r="54">
      <x:c r="A54" s="10" t="str">
        <x:v>G016</x:v>
      </x:c>
      <x:c r="B54" s="10" t="str">
        <x:v>G016-F03</x:v>
      </x:c>
      <x:c r="C54" s="10" t="str">
        <x:v>↳</x:v>
      </x:c>
      <x:c r="D54" s="10" t="str">
        <x:v>FILIALE / MARQUE / ENTITÉ</x:v>
      </x:c>
      <x:c r="E54" s="10" t="str">
        <x:v>Transworld Feeders</x:v>
      </x:c>
      <x:c r="F54" s="10" t="str">
        <x:v>Unifeeder (DP World)</x:v>
      </x:c>
      <x:c r="G54" s="10" t="str">
        <x:v>Filiale / marque</x:v>
      </x:c>
      <x:c r="H54" s="10" t="str">
        <x:v>Consolidée / marque du groupe</x:v>
      </x:c>
      <x:c r="I54" s="10" t="str">
        <x:v>EU-A</x:v>
      </x:c>
      <x:c r="J54" s="10" t="str">
        <x:v>Danemark / Aarhus</x:v>
      </x:c>
      <x:c r="K54" s="10" t="str">
        <x:v>Feeder / short-sea</x:v>
      </x:c>
      <x:c r="L54" s="10"/>
      <x:c r="M54" s="10" t="n">
        <x:f>COUNTIF('Navires hiérarchisés V5'!$B$2:$B$229,B54)</x:f>
        <x:v>0</x:v>
      </x:c>
      <x:c r="N54" s="10" t="str">
        <x:f>IF(M54&gt;0,"OUI","NON")</x:f>
        <x:v>NON</x:v>
      </x:c>
      <x:c r="O54" s="10" t="str">
        <x:v>https://alphaliner.axsmarine.com/PublicTop100//</x:v>
      </x:c>
      <x:c r="P54" s="10" t="str">
        <x:v>A - Filiales consolidées listées publiquement par Alphaliner</x:v>
      </x:c>
      <x:c r="Q54" s="10" t="str">
        <x:v>NON</x:v>
      </x:c>
    </x:row>
    <x:row r="55">
      <x:c r="A55" s="10" t="str">
        <x:v>G016</x:v>
      </x:c>
      <x:c r="B55" s="10" t="str">
        <x:v>G016-F04</x:v>
      </x:c>
      <x:c r="C55" s="10" t="str">
        <x:v>↳</x:v>
      </x:c>
      <x:c r="D55" s="10" t="str">
        <x:v>FILIALE / MARQUE / ENTITÉ</x:v>
      </x:c>
      <x:c r="E55" s="10" t="str">
        <x:v>UFS (Unimed Feeder Services)</x:v>
      </x:c>
      <x:c r="F55" s="10" t="str">
        <x:v>Unifeeder (DP World)</x:v>
      </x:c>
      <x:c r="G55" s="10" t="str">
        <x:v>Filiale / marque</x:v>
      </x:c>
      <x:c r="H55" s="10" t="str">
        <x:v>Consolidée / marque du groupe</x:v>
      </x:c>
      <x:c r="I55" s="10" t="str">
        <x:v>EU-A</x:v>
      </x:c>
      <x:c r="J55" s="10" t="str">
        <x:v>Danemark / Aarhus</x:v>
      </x:c>
      <x:c r="K55" s="10" t="str">
        <x:v>Feeder / short-sea</x:v>
      </x:c>
      <x:c r="L55" s="10"/>
      <x:c r="M55" s="10" t="n">
        <x:f>COUNTIF('Navires hiérarchisés V5'!$B$2:$B$229,B55)</x:f>
        <x:v>0</x:v>
      </x:c>
      <x:c r="N55" s="10" t="str">
        <x:f>IF(M55&gt;0,"OUI","NON")</x:f>
        <x:v>NON</x:v>
      </x:c>
      <x:c r="O55" s="10" t="str">
        <x:v>https://alphaliner.axsmarine.com/PublicTop100//</x:v>
      </x:c>
      <x:c r="P55" s="10" t="str">
        <x:v>A - Filiales consolidées listées publiquement par Alphaliner</x:v>
      </x:c>
      <x:c r="Q55" s="10" t="str">
        <x:v>NON</x:v>
      </x:c>
    </x:row>
    <x:row r="56">
      <x:c r="A56" s="10" t="str">
        <x:v>G016</x:v>
      </x:c>
      <x:c r="B56" s="10" t="str">
        <x:v>G016-F05</x:v>
      </x:c>
      <x:c r="C56" s="10" t="str">
        <x:v>↳</x:v>
      </x:c>
      <x:c r="D56" s="10" t="str">
        <x:v>FILIALE / MARQUE / ENTITÉ</x:v>
      </x:c>
      <x:c r="E56" s="10" t="str">
        <x:v>Unimed Feeder Services (UFS)</x:v>
      </x:c>
      <x:c r="F56" s="10" t="str">
        <x:v>Unifeeder (DP World)</x:v>
      </x:c>
      <x:c r="G56" s="10" t="str">
        <x:v>Filiale / marque</x:v>
      </x:c>
      <x:c r="H56" s="10" t="str">
        <x:v>Consolidée dans le groupe</x:v>
      </x:c>
      <x:c r="I56" s="10" t="str">
        <x:v>EU-A</x:v>
      </x:c>
      <x:c r="J56" s="10" t="str">
        <x:v>Danemark / Aarhus</x:v>
      </x:c>
      <x:c r="K56" s="10" t="str">
        <x:v>Feeder / short-sea</x:v>
      </x:c>
      <x:c r="L56" s="10"/>
      <x:c r="M56" s="10" t="n">
        <x:f>COUNTIF('Navires hiérarchisés V5'!$B$2:$B$229,B56)</x:f>
        <x:v>0</x:v>
      </x:c>
      <x:c r="N56" s="10" t="str">
        <x:f>IF(M56&gt;0,"OUI","NON")</x:f>
        <x:v>NON</x:v>
      </x:c>
      <x:c r="O56" s="10" t="str">
        <x:v>https://alphaliner.axsmarine.com/PublicTop100//</x:v>
      </x:c>
      <x:c r="P56" s="10" t="str">
        <x:v>A - Filiales consolidées listées publiquement par Alphaliner</x:v>
      </x:c>
      <x:c r="Q56" s="10" t="str">
        <x:v>NON</x:v>
      </x:c>
    </x:row>
    <x:row r="57">
      <x:c r="A57" s="10" t="str">
        <x:v>G017</x:v>
      </x:c>
      <x:c r="B57" s="10" t="str">
        <x:v>G017</x:v>
      </x:c>
      <x:c r="C57" s="10" t="str">
        <x:v>🏢</x:v>
      </x:c>
      <x:c r="D57" s="10" t="str">
        <x:v>MAISON MÈRE / GROUPE</x:v>
      </x:c>
      <x:c r="E57" s="10" t="str">
        <x:v>IRISL Group</x:v>
      </x:c>
      <x:c r="F57" s="10" t="str">
        <x:v>IRISL Group</x:v>
      </x:c>
      <x:c r="G57" s="10" t="str"/>
      <x:c r="H57" s="10" t="str">
        <x:v>Groupe de rattachement</x:v>
      </x:c>
      <x:c r="I57" s="10" t="str">
        <x:v>EU-B</x:v>
      </x:c>
      <x:c r="J57" s="10" t="str">
        <x:v>Iran / Téhéran</x:v>
      </x:c>
      <x:c r="K57" s="10" t="str">
        <x:v>Régional / deep-sea</x:v>
      </x:c>
      <x:c r="L57" s="10" t="n">
        <x:v>4</x:v>
      </x:c>
      <x:c r="M57" s="10" t="n">
        <x:f>COUNTIF('Navires hiérarchisés V5'!$A$2:$A$229,A57)</x:f>
        <x:v>0</x:v>
      </x:c>
      <x:c r="N57" s="10" t="str">
        <x:f>IF(M57&gt;0,"OUI","NON")</x:f>
        <x:v>NON</x:v>
      </x:c>
      <x:c r="O57" s="10" t="str">
        <x:v>https://alphaliner.axsmarine.com/PublicTop100//</x:v>
      </x:c>
      <x:c r="P57" s="10" t="str">
        <x:v>A - Filiales consolidées listées publiquement par Alphaliner</x:v>
      </x:c>
      <x:c r="Q57" s="10" t="str">
        <x:v>OUI</x:v>
      </x:c>
    </x:row>
    <x:row r="58">
      <x:c r="A58" s="10" t="str">
        <x:v>G017</x:v>
      </x:c>
      <x:c r="B58" s="10" t="str">
        <x:v>G017-F01</x:v>
      </x:c>
      <x:c r="C58" s="10" t="str">
        <x:v>↳</x:v>
      </x:c>
      <x:c r="D58" s="10" t="str">
        <x:v>FILIALE / MARQUE / ENTITÉ</x:v>
      </x:c>
      <x:c r="E58" s="10" t="str">
        <x:v>HDS Lines</x:v>
      </x:c>
      <x:c r="F58" s="10" t="str">
        <x:v>IRISL Group</x:v>
      </x:c>
      <x:c r="G58" s="10" t="str">
        <x:v>Filiale / marque consolidée</x:v>
      </x:c>
      <x:c r="H58" s="10" t="str">
        <x:v>Consolidée dans le groupe</x:v>
      </x:c>
      <x:c r="I58" s="10" t="str">
        <x:v>EU-B</x:v>
      </x:c>
      <x:c r="J58" s="10" t="str">
        <x:v>Iran / Téhéran</x:v>
      </x:c>
      <x:c r="K58" s="10" t="str">
        <x:v>Régional / deep-sea</x:v>
      </x:c>
      <x:c r="L58" s="10"/>
      <x:c r="M58" s="10" t="n">
        <x:f>COUNTIF('Navires hiérarchisés V5'!$B$2:$B$229,B58)</x:f>
        <x:v>0</x:v>
      </x:c>
      <x:c r="N58" s="10" t="str">
        <x:f>IF(M58&gt;0,"OUI","NON")</x:f>
        <x:v>NON</x:v>
      </x:c>
      <x:c r="O58" s="10" t="str">
        <x:v>https://alphaliner.axsmarine.com/PublicTop100//</x:v>
      </x:c>
      <x:c r="P58" s="10" t="str">
        <x:v>A - Filiales consolidées listées publiquement par Alphaliner</x:v>
      </x:c>
      <x:c r="Q58" s="10" t="str">
        <x:v>NON</x:v>
      </x:c>
    </x:row>
    <x:row r="59">
      <x:c r="A59" s="10" t="str">
        <x:v>G017</x:v>
      </x:c>
      <x:c r="B59" s="10" t="str">
        <x:v>G017-F02</x:v>
      </x:c>
      <x:c r="C59" s="10" t="str">
        <x:v>↳</x:v>
      </x:c>
      <x:c r="D59" s="10" t="str">
        <x:v>FILIALE / MARQUE / ENTITÉ</x:v>
      </x:c>
      <x:c r="E59" s="10" t="str">
        <x:v>IRISL</x:v>
      </x:c>
      <x:c r="F59" s="10" t="str">
        <x:v>IRISL Group</x:v>
      </x:c>
      <x:c r="G59" s="10" t="str">
        <x:v>Entité opérationnelle consolidée</x:v>
      </x:c>
      <x:c r="H59" s="10" t="str">
        <x:v>Consolidée dans le groupe</x:v>
      </x:c>
      <x:c r="I59" s="10" t="str">
        <x:v>EU-B</x:v>
      </x:c>
      <x:c r="J59" s="10" t="str">
        <x:v>Iran / Téhéran</x:v>
      </x:c>
      <x:c r="K59" s="10" t="str">
        <x:v>Régional / deep-sea</x:v>
      </x:c>
      <x:c r="L59" s="10"/>
      <x:c r="M59" s="10" t="n">
        <x:f>COUNTIF('Navires hiérarchisés V5'!$B$2:$B$229,B59)</x:f>
        <x:v>0</x:v>
      </x:c>
      <x:c r="N59" s="10" t="str">
        <x:f>IF(M59&gt;0,"OUI","NON")</x:f>
        <x:v>NON</x:v>
      </x:c>
      <x:c r="O59" s="10" t="str">
        <x:v>https://alphaliner.axsmarine.com/PublicTop100//</x:v>
      </x:c>
      <x:c r="P59" s="10" t="str">
        <x:v>A - Filiales consolidées listées publiquement par Alphaliner</x:v>
      </x:c>
      <x:c r="Q59" s="10" t="str">
        <x:v>NON</x:v>
      </x:c>
    </x:row>
    <x:row r="60">
      <x:c r="A60" s="10" t="str">
        <x:v>G017</x:v>
      </x:c>
      <x:c r="B60" s="10" t="str">
        <x:v>G017-F03</x:v>
      </x:c>
      <x:c r="C60" s="10" t="str">
        <x:v>↳</x:v>
      </x:c>
      <x:c r="D60" s="10" t="str">
        <x:v>FILIALE / MARQUE / ENTITÉ</x:v>
      </x:c>
      <x:c r="E60" s="10" t="str">
        <x:v>Khazar Shipping</x:v>
      </x:c>
      <x:c r="F60" s="10" t="str">
        <x:v>IRISL Group</x:v>
      </x:c>
      <x:c r="G60" s="10" t="str">
        <x:v>Filiale / entité consolidée</x:v>
      </x:c>
      <x:c r="H60" s="10" t="str">
        <x:v>Consolidée dans le groupe</x:v>
      </x:c>
      <x:c r="I60" s="10" t="str">
        <x:v>EU-B</x:v>
      </x:c>
      <x:c r="J60" s="10" t="str">
        <x:v>Iran / Téhéran</x:v>
      </x:c>
      <x:c r="K60" s="10" t="str">
        <x:v>Régional / deep-sea</x:v>
      </x:c>
      <x:c r="L60" s="10"/>
      <x:c r="M60" s="10" t="n">
        <x:f>COUNTIF('Navires hiérarchisés V5'!$B$2:$B$229,B60)</x:f>
        <x:v>0</x:v>
      </x:c>
      <x:c r="N60" s="10" t="str">
        <x:f>IF(M60&gt;0,"OUI","NON")</x:f>
        <x:v>NON</x:v>
      </x:c>
      <x:c r="O60" s="10" t="str">
        <x:v>https://alphaliner.axsmarine.com/PublicTop100//</x:v>
      </x:c>
      <x:c r="P60" s="10" t="str">
        <x:v>A - Filiales consolidées listées publiquement par Alphaliner</x:v>
      </x:c>
      <x:c r="Q60" s="10" t="str">
        <x:v>NON</x:v>
      </x:c>
    </x:row>
    <x:row r="61">
      <x:c r="A61" s="10" t="str">
        <x:v>G017</x:v>
      </x:c>
      <x:c r="B61" s="10" t="str">
        <x:v>G017-F04</x:v>
      </x:c>
      <x:c r="C61" s="10" t="str">
        <x:v>↳</x:v>
      </x:c>
      <x:c r="D61" s="10" t="str">
        <x:v>FILIALE / MARQUE / ENTITÉ</x:v>
      </x:c>
      <x:c r="E61" s="10" t="str">
        <x:v>Valfajre Eight Shipping</x:v>
      </x:c>
      <x:c r="F61" s="10" t="str">
        <x:v>IRISL Group</x:v>
      </x:c>
      <x:c r="G61" s="10" t="str">
        <x:v>Filiale / entité consolidée</x:v>
      </x:c>
      <x:c r="H61" s="10" t="str">
        <x:v>Consolidée dans le groupe</x:v>
      </x:c>
      <x:c r="I61" s="10" t="str">
        <x:v>EU-B</x:v>
      </x:c>
      <x:c r="J61" s="10" t="str">
        <x:v>Iran / Téhéran</x:v>
      </x:c>
      <x:c r="K61" s="10" t="str">
        <x:v>Régional / deep-sea</x:v>
      </x:c>
      <x:c r="L61" s="10"/>
      <x:c r="M61" s="10" t="n">
        <x:f>COUNTIF('Navires hiérarchisés V5'!$B$2:$B$229,B61)</x:f>
        <x:v>0</x:v>
      </x:c>
      <x:c r="N61" s="10" t="str">
        <x:f>IF(M61&gt;0,"OUI","NON")</x:f>
        <x:v>NON</x:v>
      </x:c>
      <x:c r="O61" s="10" t="str">
        <x:v>https://alphaliner.axsmarine.com/PublicTop100//</x:v>
      </x:c>
      <x:c r="P61" s="10" t="str">
        <x:v>A - Filiales consolidées listées publiquement par Alphaliner</x:v>
      </x:c>
      <x:c r="Q61" s="10" t="str">
        <x:v>NON</x:v>
      </x:c>
    </x:row>
    <x:row r="62">
      <x:c r="A62" s="10" t="str">
        <x:v>G018</x:v>
      </x:c>
      <x:c r="B62" s="10" t="str">
        <x:v>G018</x:v>
      </x:c>
      <x:c r="C62" s="10" t="str">
        <x:v>🏢</x:v>
      </x:c>
      <x:c r="D62" s="10" t="str">
        <x:v>MAISON MÈRE / GROUPE</x:v>
      </x:c>
      <x:c r="E62" s="10" t="str">
        <x:v>Global Feeder Shipping (AD Ports)</x:v>
      </x:c>
      <x:c r="F62" s="10" t="str">
        <x:v>Global Feeder Shipping (AD Ports)</x:v>
      </x:c>
      <x:c r="G62" s="10" t="str"/>
      <x:c r="H62" s="10" t="str">
        <x:v>Groupe de rattachement</x:v>
      </x:c>
      <x:c r="I62" s="10" t="str">
        <x:v>NE</x:v>
      </x:c>
      <x:c r="J62" s="10" t="str">
        <x:v>Émirats arabes unis / Dubaï</x:v>
      </x:c>
      <x:c r="K62" s="10" t="str">
        <x:v>Feeder / régional</x:v>
      </x:c>
      <x:c r="L62" s="10" t="n">
        <x:v>2</x:v>
      </x:c>
      <x:c r="M62" s="10" t="n">
        <x:f>COUNTIF('Navires hiérarchisés V5'!$A$2:$A$229,A62)</x:f>
        <x:v>0</x:v>
      </x:c>
      <x:c r="N62" s="10" t="str">
        <x:f>IF(M62&gt;0,"OUI","NON")</x:f>
        <x:v>NON</x:v>
      </x:c>
      <x:c r="O62" s="10" t="str">
        <x:v>https://globalfeeders.com</x:v>
      </x:c>
      <x:c r="P62" s="10" t="str">
        <x:v>B - Entités maritimes déjà identifiées en V4</x:v>
      </x:c>
      <x:c r="Q62" s="10" t="str">
        <x:v>OUI</x:v>
      </x:c>
    </x:row>
    <x:row r="63">
      <x:c r="A63" s="10" t="str">
        <x:v>G018</x:v>
      </x:c>
      <x:c r="B63" s="10" t="str">
        <x:v>G018-F01</x:v>
      </x:c>
      <x:c r="C63" s="10" t="str">
        <x:v>↳</x:v>
      </x:c>
      <x:c r="D63" s="10" t="str">
        <x:v>FILIALE / MARQUE / ENTITÉ</x:v>
      </x:c>
      <x:c r="E63" s="10" t="str">
        <x:v>SAFEEN Feeders</x:v>
      </x:c>
      <x:c r="F63" s="10" t="str">
        <x:v>Global Feeder Shipping (AD Ports)</x:v>
      </x:c>
      <x:c r="G63" s="10" t="str">
        <x:v>Marque / activité</x:v>
      </x:c>
      <x:c r="H63" s="10" t="str">
        <x:v>Consolidée / marque du groupe</x:v>
      </x:c>
      <x:c r="I63" s="10" t="str">
        <x:v>NE</x:v>
      </x:c>
      <x:c r="J63" s="10" t="str">
        <x:v>Émirats arabes unis / Dubaï</x:v>
      </x:c>
      <x:c r="K63" s="10" t="str">
        <x:v>Feeder / régional</x:v>
      </x:c>
      <x:c r="L63" s="10"/>
      <x:c r="M63" s="10" t="n">
        <x:f>COUNTIF('Navires hiérarchisés V5'!$B$2:$B$229,B63)</x:f>
        <x:v>0</x:v>
      </x:c>
      <x:c r="N63" s="10" t="str">
        <x:f>IF(M63&gt;0,"OUI","NON")</x:f>
        <x:v>NON</x:v>
      </x:c>
      <x:c r="O63" s="10" t="str">
        <x:v>https://www.adportsgroup.com/</x:v>
      </x:c>
      <x:c r="P63" s="10" t="str">
        <x:v>B - Entités maritimes déjà identifiées en V4</x:v>
      </x:c>
      <x:c r="Q63" s="10" t="str">
        <x:v>NON</x:v>
      </x:c>
    </x:row>
    <x:row r="64">
      <x:c r="A64" s="10" t="str">
        <x:v>G018</x:v>
      </x:c>
      <x:c r="B64" s="10" t="str">
        <x:v>G018-F02</x:v>
      </x:c>
      <x:c r="C64" s="10" t="str">
        <x:v>↳</x:v>
      </x:c>
      <x:c r="D64" s="10" t="str">
        <x:v>FILIALE / MARQUE / ENTITÉ</x:v>
      </x:c>
      <x:c r="E64" s="10" t="str">
        <x:v>Transmar</x:v>
      </x:c>
      <x:c r="F64" s="10" t="str">
        <x:v>Global Feeder Shipping (AD Ports)</x:v>
      </x:c>
      <x:c r="G64" s="10" t="str">
        <x:v>Marque / activité</x:v>
      </x:c>
      <x:c r="H64" s="10" t="str">
        <x:v>Consolidée / marque du groupe</x:v>
      </x:c>
      <x:c r="I64" s="10" t="str">
        <x:v>NE</x:v>
      </x:c>
      <x:c r="J64" s="10" t="str">
        <x:v>Émirats arabes unis / Dubaï</x:v>
      </x:c>
      <x:c r="K64" s="10" t="str">
        <x:v>Feeder / régional</x:v>
      </x:c>
      <x:c r="L64" s="10"/>
      <x:c r="M64" s="10" t="n">
        <x:f>COUNTIF('Navires hiérarchisés V5'!$B$2:$B$229,B64)</x:f>
        <x:v>0</x:v>
      </x:c>
      <x:c r="N64" s="10" t="str">
        <x:f>IF(M64&gt;0,"OUI","NON")</x:f>
        <x:v>NON</x:v>
      </x:c>
      <x:c r="O64" s="10" t="str">
        <x:v>https://www.adportsgroup.com/</x:v>
      </x:c>
      <x:c r="P64" s="10" t="str">
        <x:v>B - Entités maritimes déjà identifiées en V4</x:v>
      </x:c>
      <x:c r="Q64" s="10" t="str">
        <x:v>NON</x:v>
      </x:c>
    </x:row>
    <x:row r="65">
      <x:c r="A65" s="10" t="str">
        <x:v>G019</x:v>
      </x:c>
      <x:c r="B65" s="10" t="str">
        <x:v>G019</x:v>
      </x:c>
      <x:c r="C65" s="10" t="str">
        <x:v>🏢</x:v>
      </x:c>
      <x:c r="D65" s="10" t="str">
        <x:v>MAISON MÈRE / GROUPE</x:v>
      </x:c>
      <x:c r="E65" s="10" t="str">
        <x:v>Sinokor Merchant Marine</x:v>
      </x:c>
      <x:c r="F65" s="10" t="str">
        <x:v>Sinokor Merchant Marine</x:v>
      </x:c>
      <x:c r="G65" s="10" t="str"/>
      <x:c r="H65" s="10" t="str">
        <x:v>Groupe de rattachement</x:v>
      </x:c>
      <x:c r="I65" s="10" t="str">
        <x:v>NE</x:v>
      </x:c>
      <x:c r="J65" s="10" t="str">
        <x:v>Corée du Sud / Séoul</x:v>
      </x:c>
      <x:c r="K65" s="10" t="str">
        <x:v>Régional</x:v>
      </x:c>
      <x:c r="L65" s="10" t="n">
        <x:v>1</x:v>
      </x:c>
      <x:c r="M65" s="10" t="n">
        <x:f>COUNTIF('Navires hiérarchisés V5'!$A$2:$A$229,A65)</x:f>
        <x:v>0</x:v>
      </x:c>
      <x:c r="N65" s="10" t="str">
        <x:f>IF(M65&gt;0,"OUI","NON")</x:f>
        <x:v>NON</x:v>
      </x:c>
      <x:c r="O65" s="10" t="str">
        <x:v>https://alphaliner.axsmarine.com/PublicTop100//</x:v>
      </x:c>
      <x:c r="P65" s="10" t="str">
        <x:v>A - Filiales consolidées listées publiquement par Alphaliner</x:v>
      </x:c>
      <x:c r="Q65" s="10" t="str">
        <x:v>OUI</x:v>
      </x:c>
    </x:row>
    <x:row r="66">
      <x:c r="A66" s="10" t="str">
        <x:v>G019</x:v>
      </x:c>
      <x:c r="B66" s="10" t="str">
        <x:v>G019-F01</x:v>
      </x:c>
      <x:c r="C66" s="10" t="str">
        <x:v>↳</x:v>
      </x:c>
      <x:c r="D66" s="10" t="str">
        <x:v>FILIALE / MARQUE / ENTITÉ</x:v>
      </x:c>
      <x:c r="E66" s="10" t="str">
        <x:v>Heung-A Line</x:v>
      </x:c>
      <x:c r="F66" s="10" t="str">
        <x:v>Sinokor Merchant Marine</x:v>
      </x:c>
      <x:c r="G66" s="10" t="str">
        <x:v>Filiale consolidée</x:v>
      </x:c>
      <x:c r="H66" s="10" t="str">
        <x:v>Consolidée / marque du groupe</x:v>
      </x:c>
      <x:c r="I66" s="10" t="str">
        <x:v>NE</x:v>
      </x:c>
      <x:c r="J66" s="10" t="str">
        <x:v>Corée du Sud / Séoul</x:v>
      </x:c>
      <x:c r="K66" s="10" t="str">
        <x:v>Régional</x:v>
      </x:c>
      <x:c r="L66" s="10"/>
      <x:c r="M66" s="10" t="n">
        <x:f>COUNTIF('Navires hiérarchisés V5'!$B$2:$B$229,B66)</x:f>
        <x:v>0</x:v>
      </x:c>
      <x:c r="N66" s="10" t="str">
        <x:f>IF(M66&gt;0,"OUI","NON")</x:f>
        <x:v>NON</x:v>
      </x:c>
      <x:c r="O66" s="10" t="str">
        <x:v>https://alphaliner.axsmarine.com/PublicTop100//</x:v>
      </x:c>
      <x:c r="P66" s="10" t="str">
        <x:v>A - Filiales consolidées listées publiquement par Alphaliner</x:v>
      </x:c>
      <x:c r="Q66" s="10" t="str">
        <x:v>NON</x:v>
      </x:c>
    </x:row>
    <x:row r="67">
      <x:c r="A67" s="10" t="str">
        <x:v>G020</x:v>
      </x:c>
      <x:c r="B67" s="10" t="str">
        <x:v>G020</x:v>
      </x:c>
      <x:c r="C67" s="10" t="str">
        <x:v>🏢</x:v>
      </x:c>
      <x:c r="D67" s="10" t="str">
        <x:v>MAISON MÈRE / GROUPE</x:v>
      </x:c>
      <x:c r="E67" s="10" t="str">
        <x:v>Emirates Shipping Line</x:v>
      </x:c>
      <x:c r="F67" s="10" t="str">
        <x:v>Emirates Shipping Line</x:v>
      </x:c>
      <x:c r="G67" s="10" t="str"/>
      <x:c r="H67" s="10" t="str">
        <x:v>Groupe de rattachement</x:v>
      </x:c>
      <x:c r="I67" s="10" t="str">
        <x:v>EU-A</x:v>
      </x:c>
      <x:c r="J67" s="10" t="str">
        <x:v>Émirats arabes unis / Dubaï</x:v>
      </x:c>
      <x:c r="K67" s="10" t="str">
        <x:v>Régional / deep-sea</x:v>
      </x:c>
      <x:c r="L67" s="10" t="n">
        <x:v>0</x:v>
      </x:c>
      <x:c r="M67" s="10" t="n">
        <x:f>COUNTIF('Navires hiérarchisés V5'!$A$2:$A$229,A67)</x:f>
        <x:v>0</x:v>
      </x:c>
      <x:c r="N67" s="10" t="str">
        <x:f>IF(M67&gt;0,"OUI","NON")</x:f>
        <x:v>NON</x:v>
      </x:c>
      <x:c r="O67" s="10" t="str">
        <x:v>https://emiratesline.com</x:v>
      </x:c>
      <x:c r="P67" s="10" t="str">
        <x:v>C - Aucune filiale maritime distincte identifiée dans les sources publiques utilisées</x:v>
      </x:c>
      <x:c r="Q67" s="10" t="str">
        <x:v>OUI</x:v>
      </x:c>
    </x:row>
    <x:row r="68">
      <x:c r="A68" s="10" t="str">
        <x:v>G021</x:v>
      </x:c>
      <x:c r="B68" s="10" t="str">
        <x:v>G021</x:v>
      </x:c>
      <x:c r="C68" s="10" t="str">
        <x:v>🏢</x:v>
      </x:c>
      <x:c r="D68" s="10" t="str">
        <x:v>MAISON MÈRE / GROUPE</x:v>
      </x:c>
      <x:c r="E68" s="10" t="str">
        <x:v>TS Lines</x:v>
      </x:c>
      <x:c r="F68" s="10" t="str">
        <x:v>TS Lines</x:v>
      </x:c>
      <x:c r="G68" s="10" t="str"/>
      <x:c r="H68" s="10" t="str">
        <x:v>Groupe de rattachement</x:v>
      </x:c>
      <x:c r="I68" s="10" t="str">
        <x:v>NE</x:v>
      </x:c>
      <x:c r="J68" s="10" t="str">
        <x:v>Taïwan / Taipei</x:v>
      </x:c>
      <x:c r="K68" s="10" t="str">
        <x:v>Régional / niche deep-sea</x:v>
      </x:c>
      <x:c r="L68" s="10" t="n">
        <x:v>0</x:v>
      </x:c>
      <x:c r="M68" s="10" t="n">
        <x:f>COUNTIF('Navires hiérarchisés V5'!$A$2:$A$229,A68)</x:f>
        <x:v>0</x:v>
      </x:c>
      <x:c r="N68" s="10" t="str">
        <x:f>IF(M68&gt;0,"OUI","NON")</x:f>
        <x:v>NON</x:v>
      </x:c>
      <x:c r="O68" s="10" t="str">
        <x:v>https://lines.com</x:v>
      </x:c>
      <x:c r="P68" s="10" t="str">
        <x:v>C - Aucune filiale maritime distincte identifiée dans les sources publiques utilisées</x:v>
      </x:c>
      <x:c r="Q68" s="10" t="str">
        <x:v>OUI</x:v>
      </x:c>
    </x:row>
    <x:row r="69">
      <x:c r="A69" s="10" t="str">
        <x:v>G022</x:v>
      </x:c>
      <x:c r="B69" s="10" t="str">
        <x:v>G022</x:v>
      </x:c>
      <x:c r="C69" s="10" t="str">
        <x:v>🏢</x:v>
      </x:c>
      <x:c r="D69" s="10" t="str">
        <x:v>MAISON MÈRE / GROUPE</x:v>
      </x:c>
      <x:c r="E69" s="10" t="str">
        <x:v>RCL (Regional Container Lines)</x:v>
      </x:c>
      <x:c r="F69" s="10" t="str">
        <x:v>RCL (Regional Container Lines)</x:v>
      </x:c>
      <x:c r="G69" s="10" t="str"/>
      <x:c r="H69" s="10" t="str">
        <x:v>Groupe de rattachement</x:v>
      </x:c>
      <x:c r="I69" s="10" t="str">
        <x:v>NE</x:v>
      </x:c>
      <x:c r="J69" s="10" t="str">
        <x:v>Thaïlande / Bangkok</x:v>
      </x:c>
      <x:c r="K69" s="10" t="str">
        <x:v>Régional</x:v>
      </x:c>
      <x:c r="L69" s="10" t="n">
        <x:v>0</x:v>
      </x:c>
      <x:c r="M69" s="10" t="n">
        <x:f>COUNTIF('Navires hiérarchisés V5'!$A$2:$A$229,A69)</x:f>
        <x:v>0</x:v>
      </x:c>
      <x:c r="N69" s="10" t="str">
        <x:f>IF(M69&gt;0,"OUI","NON")</x:f>
        <x:v>NON</x:v>
      </x:c>
      <x:c r="O69" s="10" t="str">
        <x:v>https://rclgroup.com</x:v>
      </x:c>
      <x:c r="P69" s="10" t="str">
        <x:v>C - Aucune filiale maritime distincte identifiée dans les sources publiques utilisées</x:v>
      </x:c>
      <x:c r="Q69" s="10" t="str">
        <x:v>OUI</x:v>
      </x:c>
    </x:row>
    <x:row r="70">
      <x:c r="A70" s="10" t="str">
        <x:v>G023</x:v>
      </x:c>
      <x:c r="B70" s="10" t="str">
        <x:v>G023</x:v>
      </x:c>
      <x:c r="C70" s="10" t="str">
        <x:v>🏢</x:v>
      </x:c>
      <x:c r="D70" s="10" t="str">
        <x:v>MAISON MÈRE / GROUPE</x:v>
      </x:c>
      <x:c r="E70" s="10" t="str">
        <x:v>Ningbo Ocean Shipping</x:v>
      </x:c>
      <x:c r="F70" s="10" t="str">
        <x:v>Ningbo Ocean Shipping</x:v>
      </x:c>
      <x:c r="G70" s="10" t="str"/>
      <x:c r="H70" s="10" t="str">
        <x:v>Groupe de rattachement</x:v>
      </x:c>
      <x:c r="I70" s="10" t="str">
        <x:v>NE</x:v>
      </x:c>
      <x:c r="J70" s="10" t="str">
        <x:v>Chine / Ningbo</x:v>
      </x:c>
      <x:c r="K70" s="10" t="str">
        <x:v>Régional</x:v>
      </x:c>
      <x:c r="L70" s="10" t="n">
        <x:v>0</x:v>
      </x:c>
      <x:c r="M70" s="10" t="n">
        <x:f>COUNTIF('Navires hiérarchisés V5'!$A$2:$A$229,A70)</x:f>
        <x:v>0</x:v>
      </x:c>
      <x:c r="N70" s="10" t="str">
        <x:f>IF(M70&gt;0,"OUI","NON")</x:f>
        <x:v>NON</x:v>
      </x:c>
      <x:c r="O70" s="10" t="str">
        <x:v>https://nbosco.com</x:v>
      </x:c>
      <x:c r="P70" s="10" t="str">
        <x:v>C - Aucune filiale maritime distincte identifiée dans les sources publiques utilisées</x:v>
      </x:c>
      <x:c r="Q70" s="10" t="str">
        <x:v>OUI</x:v>
      </x:c>
    </x:row>
    <x:row r="71">
      <x:c r="A71" s="10" t="str">
        <x:v>G024</x:v>
      </x:c>
      <x:c r="B71" s="10" t="str">
        <x:v>G024</x:v>
      </x:c>
      <x:c r="C71" s="10" t="str">
        <x:v>🏢</x:v>
      </x:c>
      <x:c r="D71" s="10" t="str">
        <x:v>MAISON MÈRE / GROUPE</x:v>
      </x:c>
      <x:c r="E71" s="10" t="str">
        <x:v>Interasia Lines</x:v>
      </x:c>
      <x:c r="F71" s="10" t="str">
        <x:v>Interasia Lines</x:v>
      </x:c>
      <x:c r="G71" s="10" t="str"/>
      <x:c r="H71" s="10" t="str">
        <x:v>Groupe de rattachement</x:v>
      </x:c>
      <x:c r="I71" s="10" t="str">
        <x:v>NE</x:v>
      </x:c>
      <x:c r="J71" s="10" t="str">
        <x:v>Japon / Tokyo</x:v>
      </x:c>
      <x:c r="K71" s="10" t="str">
        <x:v>Régional</x:v>
      </x:c>
      <x:c r="L71" s="10" t="n">
        <x:v>0</x:v>
      </x:c>
      <x:c r="M71" s="10" t="n">
        <x:f>COUNTIF('Navires hiérarchisés V5'!$A$2:$A$229,A71)</x:f>
        <x:v>0</x:v>
      </x:c>
      <x:c r="N71" s="10" t="str">
        <x:f>IF(M71&gt;0,"OUI","NON")</x:f>
        <x:v>NON</x:v>
      </x:c>
      <x:c r="O71" s="10" t="str">
        <x:v>https://interasia.cc</x:v>
      </x:c>
      <x:c r="P71" s="10" t="str">
        <x:v>C - Aucune filiale maritime distincte identifiée dans les sources publiques utilisées</x:v>
      </x:c>
      <x:c r="Q71" s="10" t="str">
        <x:v>OUI</x:v>
      </x:c>
    </x:row>
    <x:row r="72">
      <x:c r="A72" s="10" t="str">
        <x:v>G025</x:v>
      </x:c>
      <x:c r="B72" s="10" t="str">
        <x:v>G025</x:v>
      </x:c>
      <x:c r="C72" s="10" t="str">
        <x:v>🏢</x:v>
      </x:c>
      <x:c r="D72" s="10" t="str">
        <x:v>MAISON MÈRE / GROUPE</x:v>
      </x:c>
      <x:c r="E72" s="10" t="str">
        <x:v>China United Lines (CULines)</x:v>
      </x:c>
      <x:c r="F72" s="10" t="str">
        <x:v>China United Lines (CULines)</x:v>
      </x:c>
      <x:c r="G72" s="10" t="str"/>
      <x:c r="H72" s="10" t="str">
        <x:v>Groupe de rattachement</x:v>
      </x:c>
      <x:c r="I72" s="10" t="str">
        <x:v>EU-A</x:v>
      </x:c>
      <x:c r="J72" s="10" t="str">
        <x:v>Chine / Shanghai</x:v>
      </x:c>
      <x:c r="K72" s="10" t="str">
        <x:v>Régional / niche</x:v>
      </x:c>
      <x:c r="L72" s="10" t="n">
        <x:v>0</x:v>
      </x:c>
      <x:c r="M72" s="10" t="n">
        <x:f>COUNTIF('Navires hiérarchisés V5'!$A$2:$A$229,A72)</x:f>
        <x:v>0</x:v>
      </x:c>
      <x:c r="N72" s="10" t="str">
        <x:f>IF(M72&gt;0,"OUI","NON")</x:f>
        <x:v>NON</x:v>
      </x:c>
      <x:c r="O72" s="10" t="str">
        <x:v>https://culines.com</x:v>
      </x:c>
      <x:c r="P72" s="10" t="str">
        <x:v>C - Aucune filiale maritime distincte identifiée dans les sources publiques utilisées</x:v>
      </x:c>
      <x:c r="Q72" s="10" t="str">
        <x:v>OUI</x:v>
      </x:c>
    </x:row>
    <x:row r="73">
      <x:c r="A73" s="10" t="str">
        <x:v>G026</x:v>
      </x:c>
      <x:c r="B73" s="10" t="str">
        <x:v>G026</x:v>
      </x:c>
      <x:c r="C73" s="10" t="str">
        <x:v>🏢</x:v>
      </x:c>
      <x:c r="D73" s="10" t="str">
        <x:v>MAISON MÈRE / GROUPE</x:v>
      </x:c>
      <x:c r="E73" s="10" t="str">
        <x:v>Tangshan Port Hede Shipping</x:v>
      </x:c>
      <x:c r="F73" s="10" t="str">
        <x:v>Tangshan Port Hede Shipping</x:v>
      </x:c>
      <x:c r="G73" s="10" t="str"/>
      <x:c r="H73" s="10" t="str">
        <x:v>Groupe de rattachement</x:v>
      </x:c>
      <x:c r="I73" s="10" t="str">
        <x:v>NE</x:v>
      </x:c>
      <x:c r="J73" s="10" t="str">
        <x:v>Chine / Tangshan</x:v>
      </x:c>
      <x:c r="K73" s="10" t="str">
        <x:v>Régional</x:v>
      </x:c>
      <x:c r="L73" s="10" t="n">
        <x:v>0</x:v>
      </x:c>
      <x:c r="M73" s="10" t="n">
        <x:f>COUNTIF('Navires hiérarchisés V5'!$A$2:$A$229,A73)</x:f>
        <x:v>0</x:v>
      </x:c>
      <x:c r="N73" s="10" t="str">
        <x:f>IF(M73&gt;0,"OUI","NON")</x:f>
        <x:v>NON</x:v>
      </x:c>
      <x:c r="O73" s="10" t="str">
        <x:v>https://ede.com</x:v>
      </x:c>
      <x:c r="P73" s="10" t="str">
        <x:v>C - Aucune filiale maritime distincte identifiée dans les sources publiques utilisées</x:v>
      </x:c>
      <x:c r="Q73" s="10" t="str">
        <x:v>OUI</x:v>
      </x:c>
    </x:row>
    <x:row r="74">
      <x:c r="A74" s="10" t="str">
        <x:v>G027</x:v>
      </x:c>
      <x:c r="B74" s="10" t="str">
        <x:v>G027</x:v>
      </x:c>
      <x:c r="C74" s="10" t="str">
        <x:v>🏢</x:v>
      </x:c>
      <x:c r="D74" s="10" t="str">
        <x:v>MAISON MÈRE / GROUPE</x:v>
      </x:c>
      <x:c r="E74" s="10" t="str">
        <x:v>Grimaldi Group</x:v>
      </x:c>
      <x:c r="F74" s="10" t="str">
        <x:v>Grimaldi Group</x:v>
      </x:c>
      <x:c r="G74" s="10" t="str"/>
      <x:c r="H74" s="10" t="str">
        <x:v>Groupe de rattachement</x:v>
      </x:c>
      <x:c r="I74" s="10" t="str">
        <x:v>EU-A</x:v>
      </x:c>
      <x:c r="J74" s="10" t="str">
        <x:v>Italie / Naples</x:v>
      </x:c>
      <x:c r="K74" s="10" t="str">
        <x:v>Mixte conteneur / RoRo</x:v>
      </x:c>
      <x:c r="L74" s="10" t="n">
        <x:v>2</x:v>
      </x:c>
      <x:c r="M74" s="10" t="n">
        <x:f>COUNTIF('Navires hiérarchisés V5'!$A$2:$A$229,A74)</x:f>
        <x:v>0</x:v>
      </x:c>
      <x:c r="N74" s="10" t="str">
        <x:f>IF(M74&gt;0,"OUI","NON")</x:f>
        <x:v>NON</x:v>
      </x:c>
      <x:c r="O74" s="10" t="str">
        <x:v>https://alphaliner.axsmarine.com/PublicTop100//</x:v>
      </x:c>
      <x:c r="P74" s="10" t="str">
        <x:v>A - Filiales consolidées listées publiquement par Alphaliner</x:v>
      </x:c>
      <x:c r="Q74" s="10" t="str">
        <x:v>OUI</x:v>
      </x:c>
    </x:row>
    <x:row r="75">
      <x:c r="A75" s="10" t="str">
        <x:v>G027</x:v>
      </x:c>
      <x:c r="B75" s="10" t="str">
        <x:v>G027-F01</x:v>
      </x:c>
      <x:c r="C75" s="10" t="str">
        <x:v>↳</x:v>
      </x:c>
      <x:c r="D75" s="10" t="str">
        <x:v>FILIALE / MARQUE / ENTITÉ</x:v>
      </x:c>
      <x:c r="E75" s="10" t="str">
        <x:v>Atlantic Container Line (ACL)</x:v>
      </x:c>
      <x:c r="F75" s="10" t="str">
        <x:v>Grimaldi Group</x:v>
      </x:c>
      <x:c r="G75" s="10" t="str">
        <x:v>Filiale</x:v>
      </x:c>
      <x:c r="H75" s="10" t="str">
        <x:v>Consolidée / marque du groupe</x:v>
      </x:c>
      <x:c r="I75" s="10" t="str">
        <x:v>EU-A</x:v>
      </x:c>
      <x:c r="J75" s="10" t="str">
        <x:v>Italie / Naples</x:v>
      </x:c>
      <x:c r="K75" s="10" t="str">
        <x:v>Mixte conteneur / RoRo</x:v>
      </x:c>
      <x:c r="L75" s="10"/>
      <x:c r="M75" s="10" t="n">
        <x:f>COUNTIF('Navires hiérarchisés V5'!$B$2:$B$229,B75)</x:f>
        <x:v>0</x:v>
      </x:c>
      <x:c r="N75" s="10" t="str">
        <x:f>IF(M75&gt;0,"OUI","NON")</x:f>
        <x:v>NON</x:v>
      </x:c>
      <x:c r="O75" s="10" t="str">
        <x:v>https://alphaliner.axsmarine.com/PublicTop100//</x:v>
      </x:c>
      <x:c r="P75" s="10" t="str">
        <x:v>A - Filiales consolidées listées publiquement par Alphaliner</x:v>
      </x:c>
      <x:c r="Q75" s="10" t="str">
        <x:v>NON</x:v>
      </x:c>
    </x:row>
    <x:row r="76">
      <x:c r="A76" s="10" t="str">
        <x:v>G027</x:v>
      </x:c>
      <x:c r="B76" s="10" t="str">
        <x:v>G027-F02</x:v>
      </x:c>
      <x:c r="C76" s="10" t="str">
        <x:v>↳</x:v>
      </x:c>
      <x:c r="D76" s="10" t="str">
        <x:v>FILIALE / MARQUE / ENTITÉ</x:v>
      </x:c>
      <x:c r="E76" s="10" t="str">
        <x:v>Finnlines</x:v>
      </x:c>
      <x:c r="F76" s="10" t="str">
        <x:v>Grimaldi Group</x:v>
      </x:c>
      <x:c r="G76" s="10" t="str">
        <x:v>Filiale</x:v>
      </x:c>
      <x:c r="H76" s="10" t="str">
        <x:v>Consolidée / marque du groupe</x:v>
      </x:c>
      <x:c r="I76" s="10" t="str">
        <x:v>EU-A</x:v>
      </x:c>
      <x:c r="J76" s="10" t="str">
        <x:v>Italie / Naples</x:v>
      </x:c>
      <x:c r="K76" s="10" t="str">
        <x:v>Mixte conteneur / RoRo</x:v>
      </x:c>
      <x:c r="L76" s="10"/>
      <x:c r="M76" s="10" t="n">
        <x:f>COUNTIF('Navires hiérarchisés V5'!$B$2:$B$229,B76)</x:f>
        <x:v>0</x:v>
      </x:c>
      <x:c r="N76" s="10" t="str">
        <x:f>IF(M76&gt;0,"OUI","NON")</x:f>
        <x:v>NON</x:v>
      </x:c>
      <x:c r="O76" s="10" t="str">
        <x:v>https://alphaliner.axsmarine.com/PublicTop100//</x:v>
      </x:c>
      <x:c r="P76" s="10" t="str">
        <x:v>A - Filiales consolidées listées publiquement par Alphaliner</x:v>
      </x:c>
      <x:c r="Q76" s="10" t="str">
        <x:v>NON</x:v>
      </x:c>
    </x:row>
    <x:row r="77">
      <x:c r="A77" s="10" t="str">
        <x:v>G028</x:v>
      </x:c>
      <x:c r="B77" s="10" t="str">
        <x:v>G028</x:v>
      </x:c>
      <x:c r="C77" s="10" t="str">
        <x:v>🏢</x:v>
      </x:c>
      <x:c r="D77" s="10" t="str">
        <x:v>MAISON MÈRE / GROUPE</x:v>
      </x:c>
      <x:c r="E77" s="10" t="str">
        <x:v>Antong Holdings (QASC / Ansheng)</x:v>
      </x:c>
      <x:c r="F77" s="10" t="str">
        <x:v>Antong Holdings (QASC / Ansheng)</x:v>
      </x:c>
      <x:c r="G77" s="10" t="str"/>
      <x:c r="H77" s="10" t="str">
        <x:v>Groupe de rattachement</x:v>
      </x:c>
      <x:c r="I77" s="10" t="str">
        <x:v>NE</x:v>
      </x:c>
      <x:c r="J77" s="10" t="str">
        <x:v>Chine / Quanzhou</x:v>
      </x:c>
      <x:c r="K77" s="10" t="str">
        <x:v>Domestique / régional</x:v>
      </x:c>
      <x:c r="L77" s="10" t="n">
        <x:v>0</x:v>
      </x:c>
      <x:c r="M77" s="10" t="n">
        <x:f>COUNTIF('Navires hiérarchisés V5'!$A$2:$A$229,A77)</x:f>
        <x:v>0</x:v>
      </x:c>
      <x:c r="N77" s="10" t="str">
        <x:f>IF(M77&gt;0,"OUI","NON")</x:f>
        <x:v>NON</x:v>
      </x:c>
      <x:c r="O77" s="10" t="str">
        <x:v>https://qgsm.com</x:v>
      </x:c>
      <x:c r="P77" s="10" t="str">
        <x:v>C - Aucune filiale maritime distincte identifiée dans les sources publiques utilisées</x:v>
      </x:c>
      <x:c r="Q77" s="10" t="str">
        <x:v>OUI</x:v>
      </x:c>
    </x:row>
    <x:row r="78">
      <x:c r="A78" s="10" t="str">
        <x:v>G029</x:v>
      </x:c>
      <x:c r="B78" s="10" t="str">
        <x:v>G029</x:v>
      </x:c>
      <x:c r="C78" s="10" t="str">
        <x:v>🏢</x:v>
      </x:c>
      <x:c r="D78" s="10" t="str">
        <x:v>MAISON MÈRE / GROUPE</x:v>
      </x:c>
      <x:c r="E78" s="10" t="str">
        <x:v>SM Line</x:v>
      </x:c>
      <x:c r="F78" s="10" t="str">
        <x:v>SM Line</x:v>
      </x:c>
      <x:c r="G78" s="10" t="str"/>
      <x:c r="H78" s="10" t="str">
        <x:v>Groupe de rattachement</x:v>
      </x:c>
      <x:c r="I78" s="10" t="str">
        <x:v>NE</x:v>
      </x:c>
      <x:c r="J78" s="10" t="str">
        <x:v>Corée du Sud / Séoul</x:v>
      </x:c>
      <x:c r="K78" s="10" t="str">
        <x:v>Régional / niche deep-sea</x:v>
      </x:c>
      <x:c r="L78" s="10" t="n">
        <x:v>0</x:v>
      </x:c>
      <x:c r="M78" s="10" t="n">
        <x:f>COUNTIF('Navires hiérarchisés V5'!$A$2:$A$229,A78)</x:f>
        <x:v>0</x:v>
      </x:c>
      <x:c r="N78" s="10" t="str">
        <x:f>IF(M78&gt;0,"OUI","NON")</x:f>
        <x:v>NON</x:v>
      </x:c>
      <x:c r="O78" s="10" t="str">
        <x:v>https://mlines.com</x:v>
      </x:c>
      <x:c r="P78" s="10" t="str">
        <x:v>C - Aucune filiale maritime distincte identifiée dans les sources publiques utilisées</x:v>
      </x:c>
      <x:c r="Q78" s="10" t="str">
        <x:v>OUI</x:v>
      </x:c>
    </x:row>
    <x:row r="79">
      <x:c r="A79" s="10" t="str">
        <x:v>G030</x:v>
      </x:c>
      <x:c r="B79" s="10" t="str">
        <x:v>G030</x:v>
      </x:c>
      <x:c r="C79" s="10" t="str">
        <x:v>🏢</x:v>
      </x:c>
      <x:c r="D79" s="10" t="str">
        <x:v>MAISON MÈRE / GROUPE</x:v>
      </x:c>
      <x:c r="E79" s="10" t="str">
        <x:v>Sinotrans</x:v>
      </x:c>
      <x:c r="F79" s="10" t="str">
        <x:v>Sinotrans</x:v>
      </x:c>
      <x:c r="G79" s="10" t="str"/>
      <x:c r="H79" s="10" t="str">
        <x:v>Groupe de rattachement</x:v>
      </x:c>
      <x:c r="I79" s="10" t="str">
        <x:v>NE</x:v>
      </x:c>
      <x:c r="J79" s="10" t="str">
        <x:v>Chine / Pékin</x:v>
      </x:c>
      <x:c r="K79" s="10" t="str">
        <x:v>Régional / logistique intégrée</x:v>
      </x:c>
      <x:c r="L79" s="10" t="n">
        <x:v>0</x:v>
      </x:c>
      <x:c r="M79" s="10" t="n">
        <x:f>COUNTIF('Navires hiérarchisés V5'!$A$2:$A$229,A79)</x:f>
        <x:v>0</x:v>
      </x:c>
      <x:c r="N79" s="10" t="str">
        <x:f>IF(M79&gt;0,"OUI","NON")</x:f>
        <x:v>NON</x:v>
      </x:c>
      <x:c r="O79" s="10" t="str">
        <x:v>https://inotrans.com</x:v>
      </x:c>
      <x:c r="P79" s="10" t="str">
        <x:v>C - Aucune filiale maritime distincte identifiée dans les sources publiques utilisées</x:v>
      </x:c>
      <x:c r="Q79" s="10" t="str">
        <x:v>OUI</x:v>
      </x:c>
    </x:row>
    <x:row r="80">
      <x:c r="A80" s="10" t="str">
        <x:v>G031</x:v>
      </x:c>
      <x:c r="B80" s="10" t="str">
        <x:v>G031</x:v>
      </x:c>
      <x:c r="C80" s="10" t="str">
        <x:v>🏢</x:v>
      </x:c>
      <x:c r="D80" s="10" t="str">
        <x:v>MAISON MÈRE / GROUPE</x:v>
      </x:c>
      <x:c r="E80" s="10" t="str">
        <x:v>Matson</x:v>
      </x:c>
      <x:c r="F80" s="10" t="str">
        <x:v>Matson</x:v>
      </x:c>
      <x:c r="G80" s="10" t="str"/>
      <x:c r="H80" s="10" t="str">
        <x:v>Groupe de rattachement</x:v>
      </x:c>
      <x:c r="I80" s="10" t="str">
        <x:v>NE</x:v>
      </x:c>
      <x:c r="J80" s="10" t="str">
        <x:v>États-Unis / Honolulu</x:v>
      </x:c>
      <x:c r="K80" s="10" t="str">
        <x:v>Niche deep-sea</x:v>
      </x:c>
      <x:c r="L80" s="10" t="n">
        <x:v>0</x:v>
      </x:c>
      <x:c r="M80" s="10" t="n">
        <x:f>COUNTIF('Navires hiérarchisés V5'!$A$2:$A$229,A80)</x:f>
        <x:v>0</x:v>
      </x:c>
      <x:c r="N80" s="10" t="str">
        <x:f>IF(M80&gt;0,"OUI","NON")</x:f>
        <x:v>NON</x:v>
      </x:c>
      <x:c r="O80" s="10" t="str">
        <x:v>https://matson.com</x:v>
      </x:c>
      <x:c r="P80" s="10" t="str">
        <x:v>C - Aucune filiale maritime distincte identifiée dans les sources publiques utilisées</x:v>
      </x:c>
      <x:c r="Q80" s="10" t="str">
        <x:v>OUI</x:v>
      </x:c>
    </x:row>
    <x:row r="81">
      <x:c r="A81" s="10" t="str">
        <x:v>G032</x:v>
      </x:c>
      <x:c r="B81" s="10" t="str">
        <x:v>G032</x:v>
      </x:c>
      <x:c r="C81" s="10" t="str">
        <x:v>🏢</x:v>
      </x:c>
      <x:c r="D81" s="10" t="str">
        <x:v>MAISON MÈRE / GROUPE</x:v>
      </x:c>
      <x:c r="E81" s="10" t="str">
        <x:v>Shanghai Jin Jiang Shipping</x:v>
      </x:c>
      <x:c r="F81" s="10" t="str">
        <x:v>Shanghai Jin Jiang Shipping</x:v>
      </x:c>
      <x:c r="G81" s="10" t="str"/>
      <x:c r="H81" s="10" t="str">
        <x:v>Groupe de rattachement</x:v>
      </x:c>
      <x:c r="I81" s="10" t="str">
        <x:v>NE</x:v>
      </x:c>
      <x:c r="J81" s="10" t="str">
        <x:v>Chine / Shanghai</x:v>
      </x:c>
      <x:c r="K81" s="10" t="str">
        <x:v>Régional</x:v>
      </x:c>
      <x:c r="L81" s="10" t="n">
        <x:v>2</x:v>
      </x:c>
      <x:c r="M81" s="10" t="n">
        <x:f>COUNTIF('Navires hiérarchisés V5'!$A$2:$A$229,A81)</x:f>
        <x:v>0</x:v>
      </x:c>
      <x:c r="N81" s="10" t="str">
        <x:f>IF(M81&gt;0,"OUI","NON")</x:f>
        <x:v>NON</x:v>
      </x:c>
      <x:c r="O81" s="10" t="str">
        <x:v>https://alphaliner.axsmarine.com/PublicTop100//</x:v>
      </x:c>
      <x:c r="P81" s="10" t="str">
        <x:v>A - Filiales consolidées listées publiquement par Alphaliner</x:v>
      </x:c>
      <x:c r="Q81" s="10" t="str">
        <x:v>OUI</x:v>
      </x:c>
    </x:row>
    <x:row r="82">
      <x:c r="A82" s="10" t="str">
        <x:v>G032</x:v>
      </x:c>
      <x:c r="B82" s="10" t="str">
        <x:v>G032-F01</x:v>
      </x:c>
      <x:c r="C82" s="10" t="str">
        <x:v>↳</x:v>
      </x:c>
      <x:c r="D82" s="10" t="str">
        <x:v>FILIALE / MARQUE / ENTITÉ</x:v>
      </x:c>
      <x:c r="E82" s="10" t="str">
        <x:v>HASCO</x:v>
      </x:c>
      <x:c r="F82" s="10" t="str">
        <x:v>Shanghai Jin Jiang Shipping</x:v>
      </x:c>
      <x:c r="G82" s="10" t="str">
        <x:v>Filiale consolidée</x:v>
      </x:c>
      <x:c r="H82" s="10" t="str">
        <x:v>Consolidée / marque du groupe</x:v>
      </x:c>
      <x:c r="I82" s="10" t="str">
        <x:v>NE</x:v>
      </x:c>
      <x:c r="J82" s="10" t="str">
        <x:v>Chine / Shanghai</x:v>
      </x:c>
      <x:c r="K82" s="10" t="str">
        <x:v>Régional</x:v>
      </x:c>
      <x:c r="L82" s="10"/>
      <x:c r="M82" s="10" t="n">
        <x:f>COUNTIF('Navires hiérarchisés V5'!$B$2:$B$229,B82)</x:f>
        <x:v>0</x:v>
      </x:c>
      <x:c r="N82" s="10" t="str">
        <x:f>IF(M82&gt;0,"OUI","NON")</x:f>
        <x:v>NON</x:v>
      </x:c>
      <x:c r="O82" s="10" t="str">
        <x:v>https://alphaliner.axsmarine.com/PublicTop100//</x:v>
      </x:c>
      <x:c r="P82" s="10" t="str">
        <x:v>A - Filiales consolidées listées publiquement par Alphaliner</x:v>
      </x:c>
      <x:c r="Q82" s="10" t="str">
        <x:v>NON</x:v>
      </x:c>
    </x:row>
    <x:row r="83">
      <x:c r="A83" s="10" t="str">
        <x:v>G032</x:v>
      </x:c>
      <x:c r="B83" s="10" t="str">
        <x:v>G032-F02</x:v>
      </x:c>
      <x:c r="C83" s="10" t="str">
        <x:v>↳</x:v>
      </x:c>
      <x:c r="D83" s="10" t="str">
        <x:v>FILIALE / MARQUE / ENTITÉ</x:v>
      </x:c>
      <x:c r="E83" s="10" t="str">
        <x:v>Shanghai Hai Hua (HASCO)</x:v>
      </x:c>
      <x:c r="F83" s="10" t="str">
        <x:v>Shanghai Jin Jiang Shipping</x:v>
      </x:c>
      <x:c r="G83" s="10" t="str">
        <x:v>Filiale consolidée</x:v>
      </x:c>
      <x:c r="H83" s="10" t="str">
        <x:v>Consolidée dans le groupe</x:v>
      </x:c>
      <x:c r="I83" s="10" t="str">
        <x:v>NE</x:v>
      </x:c>
      <x:c r="J83" s="10" t="str">
        <x:v>Chine / Shanghai</x:v>
      </x:c>
      <x:c r="K83" s="10" t="str">
        <x:v>Régional</x:v>
      </x:c>
      <x:c r="L83" s="10"/>
      <x:c r="M83" s="10" t="n">
        <x:f>COUNTIF('Navires hiérarchisés V5'!$B$2:$B$229,B83)</x:f>
        <x:v>0</x:v>
      </x:c>
      <x:c r="N83" s="10" t="str">
        <x:f>IF(M83&gt;0,"OUI","NON")</x:f>
        <x:v>NON</x:v>
      </x:c>
      <x:c r="O83" s="10" t="str">
        <x:v>https://alphaliner.axsmarine.com/PublicTop100//</x:v>
      </x:c>
      <x:c r="P83" s="10" t="str">
        <x:v>A - Filiales consolidées listées publiquement par Alphaliner</x:v>
      </x:c>
      <x:c r="Q83" s="10" t="str">
        <x:v>NON</x:v>
      </x:c>
    </x:row>
    <x:row r="84">
      <x:c r="A84" s="10" t="str">
        <x:v>G033</x:v>
      </x:c>
      <x:c r="B84" s="10" t="str">
        <x:v>G033</x:v>
      </x:c>
      <x:c r="C84" s="10" t="str">
        <x:v>🏢</x:v>
      </x:c>
      <x:c r="D84" s="10" t="str">
        <x:v>MAISON MÈRE / GROUPE</x:v>
      </x:c>
      <x:c r="E84" s="10" t="str">
        <x:v>Swire Shipping</x:v>
      </x:c>
      <x:c r="F84" s="10" t="str">
        <x:v>Swire Shipping</x:v>
      </x:c>
      <x:c r="G84" s="10" t="str"/>
      <x:c r="H84" s="10" t="str">
        <x:v>Groupe de rattachement</x:v>
      </x:c>
      <x:c r="I84" s="10" t="str">
        <x:v>NE</x:v>
      </x:c>
      <x:c r="J84" s="10" t="str">
        <x:v>Singapour / Singapour</x:v>
      </x:c>
      <x:c r="K84" s="10" t="str">
        <x:v>Régional / niche</x:v>
      </x:c>
      <x:c r="L84" s="10" t="n">
        <x:v>2</x:v>
      </x:c>
      <x:c r="M84" s="10" t="n">
        <x:f>COUNTIF('Navires hiérarchisés V5'!$A$2:$A$229,A84)</x:f>
        <x:v>0</x:v>
      </x:c>
      <x:c r="N84" s="10" t="str">
        <x:f>IF(M84&gt;0,"OUI","NON")</x:f>
        <x:v>NON</x:v>
      </x:c>
      <x:c r="O84" s="10" t="str">
        <x:v>https://alphaliner.axsmarine.com/PublicTop100//</x:v>
      </x:c>
      <x:c r="P84" s="10" t="str">
        <x:v>A - Filiales consolidées listées publiquement par Alphaliner</x:v>
      </x:c>
      <x:c r="Q84" s="10" t="str">
        <x:v>OUI</x:v>
      </x:c>
    </x:row>
    <x:row r="85">
      <x:c r="A85" s="10" t="str">
        <x:v>G033</x:v>
      </x:c>
      <x:c r="B85" s="10" t="str">
        <x:v>G033-F01</x:v>
      </x:c>
      <x:c r="C85" s="10" t="str">
        <x:v>↳</x:v>
      </x:c>
      <x:c r="D85" s="10" t="str">
        <x:v>FILIALE / MARQUE / ENTITÉ</x:v>
      </x:c>
      <x:c r="E85" s="10" t="str">
        <x:v>Pacifica Shipping</x:v>
      </x:c>
      <x:c r="F85" s="10" t="str">
        <x:v>Swire Shipping</x:v>
      </x:c>
      <x:c r="G85" s="10" t="str">
        <x:v>Filiale / marque</x:v>
      </x:c>
      <x:c r="H85" s="10" t="str">
        <x:v>Consolidée / marque du groupe</x:v>
      </x:c>
      <x:c r="I85" s="10" t="str">
        <x:v>NE</x:v>
      </x:c>
      <x:c r="J85" s="10" t="str">
        <x:v>Singapour / Singapour</x:v>
      </x:c>
      <x:c r="K85" s="10" t="str">
        <x:v>Régional / niche</x:v>
      </x:c>
      <x:c r="L85" s="10"/>
      <x:c r="M85" s="10" t="n">
        <x:f>COUNTIF('Navires hiérarchisés V5'!$B$2:$B$229,B85)</x:f>
        <x:v>0</x:v>
      </x:c>
      <x:c r="N85" s="10" t="str">
        <x:f>IF(M85&gt;0,"OUI","NON")</x:f>
        <x:v>NON</x:v>
      </x:c>
      <x:c r="O85" s="10" t="str">
        <x:v>https://alphaliner.axsmarine.com/PublicTop100//</x:v>
      </x:c>
      <x:c r="P85" s="10" t="str">
        <x:v>A - Filiales consolidées listées publiquement par Alphaliner</x:v>
      </x:c>
      <x:c r="Q85" s="10" t="str">
        <x:v>NON</x:v>
      </x:c>
    </x:row>
    <x:row r="86">
      <x:c r="A86" s="10" t="str">
        <x:v>G033</x:v>
      </x:c>
      <x:c r="B86" s="10" t="str">
        <x:v>G033-F02</x:v>
      </x:c>
      <x:c r="C86" s="10" t="str">
        <x:v>↳</x:v>
      </x:c>
      <x:c r="D86" s="10" t="str">
        <x:v>FILIALE / MARQUE / ENTITÉ</x:v>
      </x:c>
      <x:c r="E86" s="10" t="str">
        <x:v>Westwood Shipping</x:v>
      </x:c>
      <x:c r="F86" s="10" t="str">
        <x:v>Swire Shipping</x:v>
      </x:c>
      <x:c r="G86" s="10" t="str">
        <x:v>Filiale / marque</x:v>
      </x:c>
      <x:c r="H86" s="10" t="str">
        <x:v>Consolidée / marque du groupe</x:v>
      </x:c>
      <x:c r="I86" s="10" t="str">
        <x:v>NE</x:v>
      </x:c>
      <x:c r="J86" s="10" t="str">
        <x:v>Singapour / Singapour</x:v>
      </x:c>
      <x:c r="K86" s="10" t="str">
        <x:v>Régional / niche</x:v>
      </x:c>
      <x:c r="L86" s="10"/>
      <x:c r="M86" s="10" t="n">
        <x:f>COUNTIF('Navires hiérarchisés V5'!$B$2:$B$229,B86)</x:f>
        <x:v>0</x:v>
      </x:c>
      <x:c r="N86" s="10" t="str">
        <x:f>IF(M86&gt;0,"OUI","NON")</x:f>
        <x:v>NON</x:v>
      </x:c>
      <x:c r="O86" s="10" t="str">
        <x:v>https://alphaliner.axsmarine.com/PublicTop100//</x:v>
      </x:c>
      <x:c r="P86" s="10" t="str">
        <x:v>A - Filiales consolidées listées publiquement par Alphaliner</x:v>
      </x:c>
      <x:c r="Q86" s="10" t="str">
        <x:v>NON</x:v>
      </x:c>
    </x:row>
    <x:row r="87">
      <x:c r="A87" s="10" t="str">
        <x:v>G034</x:v>
      </x:c>
      <x:c r="B87" s="10" t="str">
        <x:v>G034</x:v>
      </x:c>
      <x:c r="C87" s="10" t="str">
        <x:v>🏢</x:v>
      </x:c>
      <x:c r="D87" s="10" t="str">
        <x:v>MAISON MÈRE / GROUPE</x:v>
      </x:c>
      <x:c r="E87" s="10" t="str">
        <x:v>Zhonggu Logistics</x:v>
      </x:c>
      <x:c r="F87" s="10" t="str">
        <x:v>Zhonggu Logistics</x:v>
      </x:c>
      <x:c r="G87" s="10" t="str"/>
      <x:c r="H87" s="10" t="str">
        <x:v>Groupe de rattachement</x:v>
      </x:c>
      <x:c r="I87" s="10" t="str">
        <x:v>NE</x:v>
      </x:c>
      <x:c r="J87" s="10" t="str">
        <x:v>Chine / Shanghai</x:v>
      </x:c>
      <x:c r="K87" s="10" t="str">
        <x:v>Domestique / régional</x:v>
      </x:c>
      <x:c r="L87" s="10" t="n">
        <x:v>0</x:v>
      </x:c>
      <x:c r="M87" s="10" t="n">
        <x:f>COUNTIF('Navires hiérarchisés V5'!$A$2:$A$229,A87)</x:f>
        <x:v>0</x:v>
      </x:c>
      <x:c r="N87" s="10" t="str">
        <x:f>IF(M87&gt;0,"OUI","NON")</x:f>
        <x:v>NON</x:v>
      </x:c>
      <x:c r="O87" s="10" t="str">
        <x:v>https://zhonggushipping.com</x:v>
      </x:c>
      <x:c r="P87" s="10" t="str">
        <x:v>C - Aucune filiale maritime distincte identifiée dans les sources publiques utilisées</x:v>
      </x:c>
      <x:c r="Q87" s="10" t="str">
        <x:v>OUI</x:v>
      </x:c>
    </x:row>
    <x:row r="88">
      <x:c r="A88" s="10" t="str">
        <x:v>G035</x:v>
      </x:c>
      <x:c r="B88" s="10" t="str">
        <x:v>G035</x:v>
      </x:c>
      <x:c r="C88" s="10" t="str">
        <x:v>🏢</x:v>
      </x:c>
      <x:c r="D88" s="10" t="str">
        <x:v>MAISON MÈRE / GROUPE</x:v>
      </x:c>
      <x:c r="E88" s="10" t="str">
        <x:v>Akkon Lines</x:v>
      </x:c>
      <x:c r="F88" s="10" t="str">
        <x:v>Akkon Lines</x:v>
      </x:c>
      <x:c r="G88" s="10" t="str"/>
      <x:c r="H88" s="10" t="str">
        <x:v>Groupe de rattachement</x:v>
      </x:c>
      <x:c r="I88" s="10" t="str">
        <x:v>EU-A</x:v>
      </x:c>
      <x:c r="J88" s="10" t="str">
        <x:v>Türkiye / Istanbul</x:v>
      </x:c>
      <x:c r="K88" s="10" t="str">
        <x:v>Régional</x:v>
      </x:c>
      <x:c r="L88" s="10" t="n">
        <x:v>0</x:v>
      </x:c>
      <x:c r="M88" s="10" t="n">
        <x:f>COUNTIF('Navires hiérarchisés V5'!$A$2:$A$229,A88)</x:f>
        <x:v>0</x:v>
      </x:c>
      <x:c r="N88" s="10" t="str">
        <x:f>IF(M88&gt;0,"OUI","NON")</x:f>
        <x:v>NON</x:v>
      </x:c>
      <x:c r="O88" s="10" t="str">
        <x:v>https://akkonlines.com</x:v>
      </x:c>
      <x:c r="P88" s="10" t="str">
        <x:v>C - Aucune filiale maritime distincte identifiée dans les sources publiques utilisées</x:v>
      </x:c>
      <x:c r="Q88" s="10" t="str">
        <x:v>OUI</x:v>
      </x:c>
    </x:row>
    <x:row r="89">
      <x:c r="A89" s="10" t="str">
        <x:v>G036</x:v>
      </x:c>
      <x:c r="B89" s="10" t="str">
        <x:v>G036</x:v>
      </x:c>
      <x:c r="C89" s="10" t="str">
        <x:v>🏢</x:v>
      </x:c>
      <x:c r="D89" s="10" t="str">
        <x:v>MAISON MÈRE / GROUPE</x:v>
      </x:c>
      <x:c r="E89" s="10" t="str">
        <x:v>FESCO</x:v>
      </x:c>
      <x:c r="F89" s="10" t="str">
        <x:v>FESCO</x:v>
      </x:c>
      <x:c r="G89" s="10" t="str"/>
      <x:c r="H89" s="10" t="str">
        <x:v>Groupe de rattachement</x:v>
      </x:c>
      <x:c r="I89" s="10" t="str">
        <x:v>EU-A</x:v>
      </x:c>
      <x:c r="J89" s="10" t="str">
        <x:v>Russie / Moscou</x:v>
      </x:c>
      <x:c r="K89" s="10" t="str">
        <x:v>Régional / niche</x:v>
      </x:c>
      <x:c r="L89" s="10" t="n">
        <x:v>1</x:v>
      </x:c>
      <x:c r="M89" s="10" t="n">
        <x:f>COUNTIF('Navires hiérarchisés V5'!$A$2:$A$229,A89)</x:f>
        <x:v>0</x:v>
      </x:c>
      <x:c r="N89" s="10" t="str">
        <x:f>IF(M89&gt;0,"OUI","NON")</x:f>
        <x:v>NON</x:v>
      </x:c>
      <x:c r="O89" s="10" t="str">
        <x:v>https://alphaliner.axsmarine.com/PublicTop100//</x:v>
      </x:c>
      <x:c r="P89" s="10" t="str">
        <x:v>A - Filiales consolidées listées publiquement par Alphaliner</x:v>
      </x:c>
      <x:c r="Q89" s="10" t="str">
        <x:v>OUI</x:v>
      </x:c>
    </x:row>
    <x:row r="90">
      <x:c r="A90" s="10" t="str">
        <x:v>G036</x:v>
      </x:c>
      <x:c r="B90" s="10" t="str">
        <x:v>G036-F01</x:v>
      </x:c>
      <x:c r="C90" s="10" t="str">
        <x:v>↳</x:v>
      </x:c>
      <x:c r="D90" s="10" t="str">
        <x:v>FILIALE / MARQUE / ENTITÉ</x:v>
      </x:c>
      <x:c r="E90" s="10" t="str">
        <x:v>FESCO ESF</x:v>
      </x:c>
      <x:c r="F90" s="10" t="str">
        <x:v>FESCO</x:v>
      </x:c>
      <x:c r="G90" s="10" t="str">
        <x:v>Filiale consolidée</x:v>
      </x:c>
      <x:c r="H90" s="10" t="str">
        <x:v>Consolidée / marque du groupe</x:v>
      </x:c>
      <x:c r="I90" s="10" t="str">
        <x:v>EU-A</x:v>
      </x:c>
      <x:c r="J90" s="10" t="str">
        <x:v>Russie / Moscou</x:v>
      </x:c>
      <x:c r="K90" s="10" t="str">
        <x:v>Régional / niche</x:v>
      </x:c>
      <x:c r="L90" s="10"/>
      <x:c r="M90" s="10" t="n">
        <x:f>COUNTIF('Navires hiérarchisés V5'!$B$2:$B$229,B90)</x:f>
        <x:v>0</x:v>
      </x:c>
      <x:c r="N90" s="10" t="str">
        <x:f>IF(M90&gt;0,"OUI","NON")</x:f>
        <x:v>NON</x:v>
      </x:c>
      <x:c r="O90" s="10" t="str">
        <x:v>https://alphaliner.axsmarine.com/PublicTop100//</x:v>
      </x:c>
      <x:c r="P90" s="10" t="str">
        <x:v>A - Filiales consolidées listées publiquement par Alphaliner</x:v>
      </x:c>
      <x:c r="Q90" s="10" t="str">
        <x:v>NON</x:v>
      </x:c>
    </x:row>
    <x:row r="91">
      <x:c r="A91" s="10" t="str">
        <x:v>G037</x:v>
      </x:c>
      <x:c r="B91" s="10" t="str">
        <x:v>G037</x:v>
      </x:c>
      <x:c r="C91" s="10" t="str">
        <x:v>🏢</x:v>
      </x:c>
      <x:c r="D91" s="10" t="str">
        <x:v>MAISON MÈRE / GROUPE</x:v>
      </x:c>
      <x:c r="E91" s="10" t="str">
        <x:v>Arkas Line / EMES</x:v>
      </x:c>
      <x:c r="F91" s="10" t="str">
        <x:v>Arkas Line / EMES</x:v>
      </x:c>
      <x:c r="G91" s="10" t="str"/>
      <x:c r="H91" s="10" t="str">
        <x:v>Groupe de rattachement</x:v>
      </x:c>
      <x:c r="I91" s="10" t="str">
        <x:v>EU-A</x:v>
      </x:c>
      <x:c r="J91" s="10" t="str">
        <x:v>Türkiye / Izmir</x:v>
      </x:c>
      <x:c r="K91" s="10" t="str">
        <x:v>Régional</x:v>
      </x:c>
      <x:c r="L91" s="10" t="n">
        <x:v>0</x:v>
      </x:c>
      <x:c r="M91" s="10" t="n">
        <x:f>COUNTIF('Navires hiérarchisés V5'!$A$2:$A$229,A91)</x:f>
        <x:v>0</x:v>
      </x:c>
      <x:c r="N91" s="10" t="str">
        <x:f>IF(M91&gt;0,"OUI","NON")</x:f>
        <x:v>NON</x:v>
      </x:c>
      <x:c r="O91" s="10" t="str">
        <x:v>https://arkas.com.tr</x:v>
      </x:c>
      <x:c r="P91" s="10" t="str">
        <x:v>C - Aucune filiale maritime distincte identifiée dans les sources publiques utilisées</x:v>
      </x:c>
      <x:c r="Q91" s="10" t="str">
        <x:v>OUI</x:v>
      </x:c>
    </x:row>
    <x:row r="92">
      <x:c r="A92" s="10" t="str">
        <x:v>G038</x:v>
      </x:c>
      <x:c r="B92" s="10" t="str">
        <x:v>G038</x:v>
      </x:c>
      <x:c r="C92" s="10" t="str">
        <x:v>🏢</x:v>
      </x:c>
      <x:c r="D92" s="10" t="str">
        <x:v>MAISON MÈRE / GROUPE</x:v>
      </x:c>
      <x:c r="E92" s="10" t="str">
        <x:v>Seaboard Marine</x:v>
      </x:c>
      <x:c r="F92" s="10" t="str">
        <x:v>Seaboard Marine</x:v>
      </x:c>
      <x:c r="G92" s="10" t="str"/>
      <x:c r="H92" s="10" t="str">
        <x:v>Groupe de rattachement</x:v>
      </x:c>
      <x:c r="I92" s="10" t="str">
        <x:v>NE</x:v>
      </x:c>
      <x:c r="J92" s="10" t="str">
        <x:v>États-Unis / Miami</x:v>
      </x:c>
      <x:c r="K92" s="10" t="str">
        <x:v>Régional</x:v>
      </x:c>
      <x:c r="L92" s="10" t="n">
        <x:v>0</x:v>
      </x:c>
      <x:c r="M92" s="10" t="n">
        <x:f>COUNTIF('Navires hiérarchisés V5'!$A$2:$A$229,A92)</x:f>
        <x:v>0</x:v>
      </x:c>
      <x:c r="N92" s="10" t="str">
        <x:f>IF(M92&gt;0,"OUI","NON")</x:f>
        <x:v>NON</x:v>
      </x:c>
      <x:c r="O92" s="10" t="str">
        <x:v>https://eaboardmarine.com</x:v>
      </x:c>
      <x:c r="P92" s="10" t="str">
        <x:v>C - Aucune filiale maritime distincte identifiée dans les sources publiques utilisées</x:v>
      </x:c>
      <x:c r="Q92" s="10" t="str">
        <x:v>OUI</x:v>
      </x:c>
    </x:row>
    <x:row r="93">
      <x:c r="A93" s="10" t="str">
        <x:v>G039</x:v>
      </x:c>
      <x:c r="B93" s="10" t="str">
        <x:v>G039</x:v>
      </x:c>
      <x:c r="C93" s="10" t="str">
        <x:v>🏢</x:v>
      </x:c>
      <x:c r="D93" s="10" t="str">
        <x:v>MAISON MÈRE / GROUPE</x:v>
      </x:c>
      <x:c r="E93" s="10" t="str">
        <x:v>Samudera Shipping Line</x:v>
      </x:c>
      <x:c r="F93" s="10" t="str">
        <x:v>Samudera Shipping Line</x:v>
      </x:c>
      <x:c r="G93" s="10" t="str"/>
      <x:c r="H93" s="10" t="str">
        <x:v>Groupe de rattachement</x:v>
      </x:c>
      <x:c r="I93" s="10" t="str">
        <x:v>NE</x:v>
      </x:c>
      <x:c r="J93" s="10" t="str">
        <x:v>Singapour / Singapour</x:v>
      </x:c>
      <x:c r="K93" s="10" t="str">
        <x:v>Régional</x:v>
      </x:c>
      <x:c r="L93" s="10" t="n">
        <x:v>0</x:v>
      </x:c>
      <x:c r="M93" s="10" t="n">
        <x:f>COUNTIF('Navires hiérarchisés V5'!$A$2:$A$229,A93)</x:f>
        <x:v>0</x:v>
      </x:c>
      <x:c r="N93" s="10" t="str">
        <x:f>IF(M93&gt;0,"OUI","NON")</x:f>
        <x:v>NON</x:v>
      </x:c>
      <x:c r="O93" s="10" t="str">
        <x:v>https://amudera.com</x:v>
      </x:c>
      <x:c r="P93" s="10" t="str">
        <x:v>C - Aucune filiale maritime distincte identifiée dans les sources publiques utilisées</x:v>
      </x:c>
      <x:c r="Q93" s="10" t="str">
        <x:v>OUI</x:v>
      </x:c>
    </x:row>
    <x:row r="94">
      <x:c r="A94" s="10" t="str">
        <x:v>G040</x:v>
      </x:c>
      <x:c r="B94" s="10" t="str">
        <x:v>G040</x:v>
      </x:c>
      <x:c r="C94" s="10" t="str">
        <x:v>🏢</x:v>
      </x:c>
      <x:c r="D94" s="10" t="str">
        <x:v>MAISON MÈRE / GROUPE</x:v>
      </x:c>
      <x:c r="E94" s="10" t="str">
        <x:v>Tailwind Shipping Lines</x:v>
      </x:c>
      <x:c r="F94" s="10" t="str">
        <x:v>Tailwind Shipping Lines</x:v>
      </x:c>
      <x:c r="G94" s="10" t="str"/>
      <x:c r="H94" s="10" t="str">
        <x:v>Groupe de rattachement</x:v>
      </x:c>
      <x:c r="I94" s="10" t="str">
        <x:v>EU-A</x:v>
      </x:c>
      <x:c r="J94" s="10" t="str">
        <x:v>Allemagne / Hambourg</x:v>
      </x:c>
      <x:c r="K94" s="10" t="str">
        <x:v>Niche deep-sea</x:v>
      </x:c>
      <x:c r="L94" s="10" t="n">
        <x:v>0</x:v>
      </x:c>
      <x:c r="M94" s="10" t="n">
        <x:f>COUNTIF('Navires hiérarchisés V5'!$A$2:$A$229,A94)</x:f>
        <x:v>0</x:v>
      </x:c>
      <x:c r="N94" s="10" t="str">
        <x:f>IF(M94&gt;0,"OUI","NON")</x:f>
        <x:v>NON</x:v>
      </x:c>
      <x:c r="O94" s="10" t="str">
        <x:v>https://ailwind-shipping.com</x:v>
      </x:c>
      <x:c r="P94" s="10" t="str">
        <x:v>C - Aucune filiale maritime distincte identifiée dans les sources publiques utilisées</x:v>
      </x:c>
      <x:c r="Q94" s="10" t="str">
        <x:v>OUI</x:v>
      </x:c>
    </x:row>
    <x:row r="95">
      <x:c r="A95" s="10" t="str">
        <x:v>G041</x:v>
      </x:c>
      <x:c r="B95" s="10" t="str">
        <x:v>G041</x:v>
      </x:c>
      <x:c r="C95" s="10" t="str">
        <x:v>🏢</x:v>
      </x:c>
      <x:c r="D95" s="10" t="str">
        <x:v>MAISON MÈRE / GROUPE</x:v>
      </x:c>
      <x:c r="E95" s="10" t="str">
        <x:v>Meratus Line</x:v>
      </x:c>
      <x:c r="F95" s="10" t="str">
        <x:v>Meratus Line</x:v>
      </x:c>
      <x:c r="G95" s="10" t="str"/>
      <x:c r="H95" s="10" t="str">
        <x:v>Groupe de rattachement</x:v>
      </x:c>
      <x:c r="I95" s="10" t="str">
        <x:v>NE</x:v>
      </x:c>
      <x:c r="J95" s="10" t="str">
        <x:v>Indonésie / Surabaya</x:v>
      </x:c>
      <x:c r="K95" s="10" t="str">
        <x:v>Régional</x:v>
      </x:c>
      <x:c r="L95" s="10" t="n">
        <x:v>0</x:v>
      </x:c>
      <x:c r="M95" s="10" t="n">
        <x:f>COUNTIF('Navires hiérarchisés V5'!$A$2:$A$229,A95)</x:f>
        <x:v>0</x:v>
      </x:c>
      <x:c r="N95" s="10" t="str">
        <x:f>IF(M95&gt;0,"OUI","NON")</x:f>
        <x:v>NON</x:v>
      </x:c>
      <x:c r="O95" s="10" t="str">
        <x:v>https://meratusline.com</x:v>
      </x:c>
      <x:c r="P95" s="10" t="str">
        <x:v>C - Aucune filiale maritime distincte identifiée dans les sources publiques utilisées</x:v>
      </x:c>
      <x:c r="Q95" s="10" t="str">
        <x:v>OUI</x:v>
      </x:c>
    </x:row>
    <x:row r="96">
      <x:c r="A96" s="10" t="str">
        <x:v>G042</x:v>
      </x:c>
      <x:c r="B96" s="10" t="str">
        <x:v>G042</x:v>
      </x:c>
      <x:c r="C96" s="10" t="str">
        <x:v>🏢</x:v>
      </x:c>
      <x:c r="D96" s="10" t="str">
        <x:v>MAISON MÈRE / GROUPE</x:v>
      </x:c>
      <x:c r="E96" s="10" t="str">
        <x:v>Namsung Shipping</x:v>
      </x:c>
      <x:c r="F96" s="10" t="str">
        <x:v>Namsung Shipping</x:v>
      </x:c>
      <x:c r="G96" s="10" t="str"/>
      <x:c r="H96" s="10" t="str">
        <x:v>Groupe de rattachement</x:v>
      </x:c>
      <x:c r="I96" s="10" t="str">
        <x:v>NE</x:v>
      </x:c>
      <x:c r="J96" s="10" t="str">
        <x:v>Corée du Sud / Séoul</x:v>
      </x:c>
      <x:c r="K96" s="10" t="str">
        <x:v>Régional</x:v>
      </x:c>
      <x:c r="L96" s="10" t="n">
        <x:v>0</x:v>
      </x:c>
      <x:c r="M96" s="10" t="n">
        <x:f>COUNTIF('Navires hiérarchisés V5'!$A$2:$A$229,A96)</x:f>
        <x:v>0</x:v>
      </x:c>
      <x:c r="N96" s="10" t="str">
        <x:f>IF(M96&gt;0,"OUI","NON")</x:f>
        <x:v>NON</x:v>
      </x:c>
      <x:c r="O96" s="10" t="str">
        <x:v>https://namsung.co.kr</x:v>
      </x:c>
      <x:c r="P96" s="10" t="str">
        <x:v>C - Aucune filiale maritime distincte identifiée dans les sources publiques utilisées</x:v>
      </x:c>
      <x:c r="Q96" s="10" t="str">
        <x:v>OUI</x:v>
      </x:c>
    </x:row>
    <x:row r="97">
      <x:c r="A97" s="10" t="str">
        <x:v>G043</x:v>
      </x:c>
      <x:c r="B97" s="10" t="str">
        <x:v>G043</x:v>
      </x:c>
      <x:c r="C97" s="10" t="str">
        <x:v>🏢</x:v>
      </x:c>
      <x:c r="D97" s="10" t="str">
        <x:v>MAISON MÈRE / GROUPE</x:v>
      </x:c>
      <x:c r="E97" s="10" t="str">
        <x:v>Tanto Intim Line</x:v>
      </x:c>
      <x:c r="F97" s="10" t="str">
        <x:v>Tanto Intim Line</x:v>
      </x:c>
      <x:c r="G97" s="10" t="str"/>
      <x:c r="H97" s="10" t="str">
        <x:v>Groupe de rattachement</x:v>
      </x:c>
      <x:c r="I97" s="10" t="str">
        <x:v>NE</x:v>
      </x:c>
      <x:c r="J97" s="10" t="str">
        <x:v>Indonésie / Surabaya</x:v>
      </x:c>
      <x:c r="K97" s="10" t="str">
        <x:v>Domestique / régional</x:v>
      </x:c>
      <x:c r="L97" s="10" t="n">
        <x:v>0</x:v>
      </x:c>
      <x:c r="M97" s="10" t="n">
        <x:f>COUNTIF('Navires hiérarchisés V5'!$A$2:$A$229,A97)</x:f>
        <x:v>0</x:v>
      </x:c>
      <x:c r="N97" s="10" t="str">
        <x:f>IF(M97&gt;0,"OUI","NON")</x:f>
        <x:v>NON</x:v>
      </x:c>
      <x:c r="O97" s="10" t="str">
        <x:v>https://antonet.com</x:v>
      </x:c>
      <x:c r="P97" s="10" t="str">
        <x:v>C - Aucune filiale maritime distincte identifiée dans les sources publiques utilisées</x:v>
      </x:c>
      <x:c r="Q97" s="10" t="str">
        <x:v>OUI</x:v>
      </x:c>
    </x:row>
    <x:row r="98">
      <x:c r="A98" s="10" t="str">
        <x:v>G044</x:v>
      </x:c>
      <x:c r="B98" s="10" t="str">
        <x:v>G044</x:v>
      </x:c>
      <x:c r="C98" s="10" t="str">
        <x:v>🏢</x:v>
      </x:c>
      <x:c r="D98" s="10" t="str">
        <x:v>MAISON MÈRE / GROUPE</x:v>
      </x:c>
      <x:c r="E98" s="10" t="str">
        <x:v>Salam Pacific Indonesia Lines (SPIL)</x:v>
      </x:c>
      <x:c r="F98" s="10" t="str">
        <x:v>Salam Pacific Indonesia Lines (SPIL)</x:v>
      </x:c>
      <x:c r="G98" s="10" t="str"/>
      <x:c r="H98" s="10" t="str">
        <x:v>Groupe de rattachement</x:v>
      </x:c>
      <x:c r="I98" s="10" t="str">
        <x:v>NE</x:v>
      </x:c>
      <x:c r="J98" s="10" t="str">
        <x:v>Indonésie / Surabaya</x:v>
      </x:c>
      <x:c r="K98" s="10" t="str">
        <x:v>Domestique / régional</x:v>
      </x:c>
      <x:c r="L98" s="10" t="n">
        <x:v>0</x:v>
      </x:c>
      <x:c r="M98" s="10" t="n">
        <x:f>COUNTIF('Navires hiérarchisés V5'!$A$2:$A$229,A98)</x:f>
        <x:v>0</x:v>
      </x:c>
      <x:c r="N98" s="10" t="str">
        <x:f>IF(M98&gt;0,"OUI","NON")</x:f>
        <x:v>NON</x:v>
      </x:c>
      <x:c r="O98" s="10" t="str">
        <x:v>https://il.co.id</x:v>
      </x:c>
      <x:c r="P98" s="10" t="str">
        <x:v>C - Aucune filiale maritime distincte identifiée dans les sources publiques utilisées</x:v>
      </x:c>
      <x:c r="Q98" s="10" t="str">
        <x:v>OUI</x:v>
      </x:c>
    </x:row>
    <x:row r="99">
      <x:c r="A99" s="10" t="str">
        <x:v>G045</x:v>
      </x:c>
      <x:c r="B99" s="10" t="str">
        <x:v>G045</x:v>
      </x:c>
      <x:c r="C99" s="10" t="str">
        <x:v>🏢</x:v>
      </x:c>
      <x:c r="D99" s="10" t="str">
        <x:v>MAISON MÈRE / GROUPE</x:v>
      </x:c>
      <x:c r="E99" s="10" t="str">
        <x:v>Great White Fleet (Chiquita)</x:v>
      </x:c>
      <x:c r="F99" s="10" t="str">
        <x:v>Great White Fleet (Chiquita)</x:v>
      </x:c>
      <x:c r="G99" s="10" t="str"/>
      <x:c r="H99" s="10" t="str">
        <x:v>Groupe de rattachement</x:v>
      </x:c>
      <x:c r="I99" s="10" t="str">
        <x:v>EU-A</x:v>
      </x:c>
      <x:c r="J99" s="10" t="str">
        <x:v>États-Unis / Floride</x:v>
      </x:c>
      <x:c r="K99" s="10" t="str">
        <x:v>Niche reefer / conteneur</x:v>
      </x:c>
      <x:c r="L99" s="10" t="n">
        <x:v>0</x:v>
      </x:c>
      <x:c r="M99" s="10" t="n">
        <x:f>COUNTIF('Navires hiérarchisés V5'!$A$2:$A$229,A99)</x:f>
        <x:v>0</x:v>
      </x:c>
      <x:c r="N99" s="10" t="str">
        <x:f>IF(M99&gt;0,"OUI","NON")</x:f>
        <x:v>NON</x:v>
      </x:c>
      <x:c r="O99" s="10" t="str">
        <x:v>https://greatwhitefleet.com</x:v>
      </x:c>
      <x:c r="P99" s="10" t="str">
        <x:v>C - Aucune filiale maritime distincte identifiée dans les sources publiques utilisées</x:v>
      </x:c>
      <x:c r="Q99" s="10" t="str">
        <x:v>OUI</x:v>
      </x:c>
    </x:row>
    <x:row r="100">
      <x:c r="A100" s="10" t="str">
        <x:v>G046</x:v>
      </x:c>
      <x:c r="B100" s="10" t="str">
        <x:v>G046</x:v>
      </x:c>
      <x:c r="C100" s="10" t="str">
        <x:v>🏢</x:v>
      </x:c>
      <x:c r="D100" s="10" t="str">
        <x:v>MAISON MÈRE / GROUPE</x:v>
      </x:c>
      <x:c r="E100" s="10" t="str">
        <x:v>Ignazio Messina / Linea Messina</x:v>
      </x:c>
      <x:c r="F100" s="10" t="str">
        <x:v>Ignazio Messina / Linea Messina</x:v>
      </x:c>
      <x:c r="G100" s="10" t="str"/>
      <x:c r="H100" s="10" t="str">
        <x:v>Groupe de rattachement</x:v>
      </x:c>
      <x:c r="I100" s="10" t="str">
        <x:v>EU-A</x:v>
      </x:c>
      <x:c r="J100" s="10" t="str">
        <x:v>Italie / Gênes</x:v>
      </x:c>
      <x:c r="K100" s="10" t="str">
        <x:v>Mixte conteneur / RoRo</x:v>
      </x:c>
      <x:c r="L100" s="10" t="n">
        <x:v>0</x:v>
      </x:c>
      <x:c r="M100" s="10" t="n">
        <x:f>COUNTIF('Navires hiérarchisés V5'!$A$2:$A$229,A100)</x:f>
        <x:v>0</x:v>
      </x:c>
      <x:c r="N100" s="10" t="str">
        <x:f>IF(M100&gt;0,"OUI","NON")</x:f>
        <x:v>NON</x:v>
      </x:c>
      <x:c r="O100" s="10" t="str">
        <x:v>https://messinaline.it</x:v>
      </x:c>
      <x:c r="P100" s="10" t="str">
        <x:v>C - Aucune filiale maritime distincte identifiée dans les sources publiques utilisées</x:v>
      </x:c>
      <x:c r="Q100" s="10" t="str">
        <x:v>OUI</x:v>
      </x:c>
    </x:row>
    <x:row r="101">
      <x:c r="A101" s="10" t="str">
        <x:v>G047</x:v>
      </x:c>
      <x:c r="B101" s="10" t="str">
        <x:v>G047</x:v>
      </x:c>
      <x:c r="C101" s="10" t="str">
        <x:v>🏢</x:v>
      </x:c>
      <x:c r="D101" s="10" t="str">
        <x:v>MAISON MÈRE / GROUPE</x:v>
      </x:c>
      <x:c r="E101" s="10" t="str">
        <x:v>Hainan Yangpu NewNew Shipping</x:v>
      </x:c>
      <x:c r="F101" s="10" t="str">
        <x:v>Hainan Yangpu NewNew Shipping</x:v>
      </x:c>
      <x:c r="G101" s="10" t="str"/>
      <x:c r="H101" s="10" t="str">
        <x:v>Groupe de rattachement</x:v>
      </x:c>
      <x:c r="I101" s="10" t="str">
        <x:v>EU-B</x:v>
      </x:c>
      <x:c r="J101" s="10" t="str">
        <x:v>Chine / Yangpu</x:v>
      </x:c>
      <x:c r="K101" s="10" t="str">
        <x:v>Niche / régional</x:v>
      </x:c>
      <x:c r="L101" s="10" t="n">
        <x:v>0</x:v>
      </x:c>
      <x:c r="M101" s="10" t="n">
        <x:f>COUNTIF('Navires hiérarchisés V5'!$A$2:$A$229,A101)</x:f>
        <x:v>0</x:v>
      </x:c>
      <x:c r="N101" s="10" t="str">
        <x:f>IF(M101&gt;0,"OUI","NON")</x:f>
        <x:v>NON</x:v>
      </x:c>
      <x:c r="O101" s="10" t="str">
        <x:v>https://newnewshipping.com</x:v>
      </x:c>
      <x:c r="P101" s="10" t="str">
        <x:v>C - Aucune filiale maritime distincte identifiée dans les sources publiques utilisées</x:v>
      </x:c>
      <x:c r="Q101" s="10" t="str">
        <x:v>OUI</x:v>
      </x:c>
    </x:row>
    <x:row r="102">
      <x:c r="A102" s="10" t="str">
        <x:v>G048</x:v>
      </x:c>
      <x:c r="B102" s="10" t="str">
        <x:v>G048</x:v>
      </x:c>
      <x:c r="C102" s="10" t="str">
        <x:v>🏢</x:v>
      </x:c>
      <x:c r="D102" s="10" t="str">
        <x:v>MAISON MÈRE / GROUPE</x:v>
      </x:c>
      <x:c r="E102" s="10" t="str">
        <x:v>Dole Ocean Cargo Express</x:v>
      </x:c>
      <x:c r="F102" s="10" t="str">
        <x:v>Dole Ocean Cargo Express</x:v>
      </x:c>
      <x:c r="G102" s="10" t="str"/>
      <x:c r="H102" s="10" t="str">
        <x:v>Groupe de rattachement</x:v>
      </x:c>
      <x:c r="I102" s="10" t="str">
        <x:v>EU-A</x:v>
      </x:c>
      <x:c r="J102" s="10" t="str">
        <x:v>États-Unis / Charlotte</x:v>
      </x:c>
      <x:c r="K102" s="10" t="str">
        <x:v>Niche reefer / conteneur</x:v>
      </x:c>
      <x:c r="L102" s="10" t="n">
        <x:v>0</x:v>
      </x:c>
      <x:c r="M102" s="10" t="n">
        <x:f>COUNTIF('Navires hiérarchisés V5'!$A$2:$A$229,A102)</x:f>
        <x:v>0</x:v>
      </x:c>
      <x:c r="N102" s="10" t="str">
        <x:f>IF(M102&gt;0,"OUI","NON")</x:f>
        <x:v>NON</x:v>
      </x:c>
      <x:c r="O102" s="10" t="str">
        <x:v>https://dole.com</x:v>
      </x:c>
      <x:c r="P102" s="10" t="str">
        <x:v>C - Aucune filiale maritime distincte identifiée dans les sources publiques utilisées</x:v>
      </x:c>
      <x:c r="Q102" s="10" t="str">
        <x:v>OUI</x:v>
      </x:c>
    </x:row>
    <x:row r="103">
      <x:c r="A103" s="10" t="str">
        <x:v>G049</x:v>
      </x:c>
      <x:c r="B103" s="10" t="str">
        <x:v>G049</x:v>
      </x:c>
      <x:c r="C103" s="10" t="str">
        <x:v>🏢</x:v>
      </x:c>
      <x:c r="D103" s="10" t="str">
        <x:v>MAISON MÈRE / GROUPE</x:v>
      </x:c>
      <x:c r="E103" s="10" t="str">
        <x:v>CK Line (Chun Kyung)</x:v>
      </x:c>
      <x:c r="F103" s="10" t="str">
        <x:v>CK Line (Chun Kyung)</x:v>
      </x:c>
      <x:c r="G103" s="10" t="str"/>
      <x:c r="H103" s="10" t="str">
        <x:v>Groupe de rattachement</x:v>
      </x:c>
      <x:c r="I103" s="10" t="str">
        <x:v>NE</x:v>
      </x:c>
      <x:c r="J103" s="10" t="str">
        <x:v>Corée du Sud / Séoul</x:v>
      </x:c>
      <x:c r="K103" s="10" t="str">
        <x:v>Régional</x:v>
      </x:c>
      <x:c r="L103" s="10" t="n">
        <x:v>0</x:v>
      </x:c>
      <x:c r="M103" s="10" t="n">
        <x:f>COUNTIF('Navires hiérarchisés V5'!$A$2:$A$229,A103)</x:f>
        <x:v>0</x:v>
      </x:c>
      <x:c r="N103" s="10" t="str">
        <x:f>IF(M103&gt;0,"OUI","NON")</x:f>
        <x:v>NON</x:v>
      </x:c>
      <x:c r="O103" s="10" t="str">
        <x:v>https://ckline.co.kr</x:v>
      </x:c>
      <x:c r="P103" s="10" t="str">
        <x:v>C - Aucune filiale maritime distincte identifiée dans les sources publiques utilisées</x:v>
      </x:c>
      <x:c r="Q103" s="10" t="str">
        <x:v>OUI</x:v>
      </x:c>
    </x:row>
    <x:row r="104">
      <x:c r="A104" s="10" t="str">
        <x:v>G050</x:v>
      </x:c>
      <x:c r="B104" s="10" t="str">
        <x:v>G050</x:v>
      </x:c>
      <x:c r="C104" s="10" t="str">
        <x:v>🏢</x:v>
      </x:c>
      <x:c r="D104" s="10" t="str">
        <x:v>MAISON MÈRE / GROUPE</x:v>
      </x:c>
      <x:c r="E104" s="10" t="str">
        <x:v>Sea Legend Shipping</x:v>
      </x:c>
      <x:c r="F104" s="10" t="str">
        <x:v>Sea Legend Shipping</x:v>
      </x:c>
      <x:c r="G104" s="10" t="str"/>
      <x:c r="H104" s="10" t="str">
        <x:v>Groupe de rattachement</x:v>
      </x:c>
      <x:c r="I104" s="10" t="str">
        <x:v>EU-B</x:v>
      </x:c>
      <x:c r="J104" s="10" t="str">
        <x:v>Singapour / Singapour</x:v>
      </x:c>
      <x:c r="K104" s="10" t="str">
        <x:v>Niche / régional</x:v>
      </x:c>
      <x:c r="L104" s="10" t="n">
        <x:v>0</x:v>
      </x:c>
      <x:c r="M104" s="10" t="n">
        <x:f>COUNTIF('Navires hiérarchisés V5'!$A$2:$A$229,A104)</x:f>
        <x:v>0</x:v>
      </x:c>
      <x:c r="N104" s="10" t="str">
        <x:f>IF(M104&gt;0,"OUI","NON")</x:f>
        <x:v>NON</x:v>
      </x:c>
      <x:c r="O104" s="10" t="str">
        <x:v>https://lg-shipping.com</x:v>
      </x:c>
      <x:c r="P104" s="10" t="str">
        <x:v>C - Aucune filiale maritime distincte identifiée dans les sources publiques utilisées</x:v>
      </x:c>
      <x:c r="Q104" s="10" t="str">
        <x:v>OUI</x:v>
      </x:c>
    </x:row>
    <x:row r="105">
      <x:c r="A105" s="10" t="str">
        <x:v>G051</x:v>
      </x:c>
      <x:c r="B105" s="10" t="str">
        <x:v>G051</x:v>
      </x:c>
      <x:c r="C105" s="10" t="str">
        <x:v>🏢</x:v>
      </x:c>
      <x:c r="D105" s="10" t="str">
        <x:v>MAISON MÈRE / GROUPE</x:v>
      </x:c>
      <x:c r="E105" s="10" t="str">
        <x:v>Crowley Maritime / Crowley Logistics</x:v>
      </x:c>
      <x:c r="F105" s="10" t="str">
        <x:v>Crowley Maritime / Crowley Logistics</x:v>
      </x:c>
      <x:c r="G105" s="10" t="str"/>
      <x:c r="H105" s="10" t="str">
        <x:v>Groupe de rattachement</x:v>
      </x:c>
      <x:c r="I105" s="10" t="str">
        <x:v>NE</x:v>
      </x:c>
      <x:c r="J105" s="10" t="str">
        <x:v>États-Unis</x:v>
      </x:c>
      <x:c r="K105" s="10" t="str">
        <x:v>Régional</x:v>
      </x:c>
      <x:c r="L105" s="10" t="n">
        <x:v>0</x:v>
      </x:c>
      <x:c r="M105" s="10" t="n">
        <x:f>COUNTIF('Navires hiérarchisés V5'!$A$2:$A$229,A105)</x:f>
        <x:v>0</x:v>
      </x:c>
      <x:c r="N105" s="10" t="str">
        <x:f>IF(M105&gt;0,"OUI","NON")</x:f>
        <x:v>NON</x:v>
      </x:c>
      <x:c r="O105" s="10" t="str">
        <x:v>https://crowley.com</x:v>
      </x:c>
      <x:c r="P105" s="10" t="str">
        <x:v>C - Aucune filiale maritime distincte identifiée dans les sources publiques utilisées</x:v>
      </x:c>
      <x:c r="Q105" s="10" t="str">
        <x:v>OUI</x:v>
      </x:c>
    </x:row>
    <x:row r="106">
      <x:c r="A106" s="10" t="str">
        <x:v>G052</x:v>
      </x:c>
      <x:c r="B106" s="10" t="str">
        <x:v>G052</x:v>
      </x:c>
      <x:c r="C106" s="10" t="str">
        <x:v>🏢</x:v>
      </x:c>
      <x:c r="D106" s="10" t="str">
        <x:v>MAISON MÈRE / GROUPE</x:v>
      </x:c>
      <x:c r="E106" s="10" t="str">
        <x:v>Eimskip</x:v>
      </x:c>
      <x:c r="F106" s="10" t="str">
        <x:v>Eimskip</x:v>
      </x:c>
      <x:c r="G106" s="10" t="str"/>
      <x:c r="H106" s="10" t="str">
        <x:v>Groupe de rattachement</x:v>
      </x:c>
      <x:c r="I106" s="10" t="str">
        <x:v>EU-A</x:v>
      </x:c>
      <x:c r="J106" s="10" t="str">
        <x:v>Islande</x:v>
      </x:c>
      <x:c r="K106" s="10" t="str">
        <x:v>Régional / niche</x:v>
      </x:c>
      <x:c r="L106" s="10" t="n">
        <x:v>0</x:v>
      </x:c>
      <x:c r="M106" s="10" t="n">
        <x:f>COUNTIF('Navires hiérarchisés V5'!$A$2:$A$229,A106)</x:f>
        <x:v>0</x:v>
      </x:c>
      <x:c r="N106" s="10" t="str">
        <x:f>IF(M106&gt;0,"OUI","NON")</x:f>
        <x:v>NON</x:v>
      </x:c>
      <x:c r="O106" s="10" t="str">
        <x:v>https://eimskip.com</x:v>
      </x:c>
      <x:c r="P106" s="10" t="str">
        <x:v>C - Aucune filiale maritime distincte identifiée dans les sources publiques utilisées</x:v>
      </x:c>
      <x:c r="Q106" s="10" t="str">
        <x:v>OUI</x:v>
      </x:c>
    </x:row>
    <x:row r="107">
      <x:c r="A107" s="10" t="str">
        <x:v>G053</x:v>
      </x:c>
      <x:c r="B107" s="10" t="str">
        <x:v>G053</x:v>
      </x:c>
      <x:c r="C107" s="10" t="str">
        <x:v>🏢</x:v>
      </x:c>
      <x:c r="D107" s="10" t="str">
        <x:v>MAISON MÈRE / GROUPE</x:v>
      </x:c>
      <x:c r="E107" s="10" t="str">
        <x:v>Independent Container Line (ICL)</x:v>
      </x:c>
      <x:c r="F107" s="10" t="str">
        <x:v>Independent Container Line (ICL)</x:v>
      </x:c>
      <x:c r="G107" s="10" t="str"/>
      <x:c r="H107" s="10" t="str">
        <x:v>Groupe de rattachement</x:v>
      </x:c>
      <x:c r="I107" s="10" t="str">
        <x:v>EU-A</x:v>
      </x:c>
      <x:c r="J107" s="10" t="str">
        <x:v>États-Unis / Royaume-Uni</x:v>
      </x:c>
      <x:c r="K107" s="10" t="str">
        <x:v>Niche deep-sea</x:v>
      </x:c>
      <x:c r="L107" s="10" t="n">
        <x:v>0</x:v>
      </x:c>
      <x:c r="M107" s="10" t="n">
        <x:f>COUNTIF('Navires hiérarchisés V5'!$A$2:$A$229,A107)</x:f>
        <x:v>0</x:v>
      </x:c>
      <x:c r="N107" s="10" t="str">
        <x:f>IF(M107&gt;0,"OUI","NON")</x:f>
        <x:v>NON</x:v>
      </x:c>
      <x:c r="O107" s="10" t="str">
        <x:v>https://icl-ltd.com</x:v>
      </x:c>
      <x:c r="P107" s="10" t="str">
        <x:v>C - Aucune filiale maritime distincte identifiée dans les sources publiques utilisées</x:v>
      </x:c>
      <x:c r="Q107" s="10" t="str">
        <x:v>OUI</x:v>
      </x:c>
    </x:row>
    <x:row r="108">
      <x:c r="A108" s="10" t="str">
        <x:v>G054</x:v>
      </x:c>
      <x:c r="B108" s="10" t="str">
        <x:v>G054</x:v>
      </x:c>
      <x:c r="C108" s="10" t="str">
        <x:v>🏢</x:v>
      </x:c>
      <x:c r="D108" s="10" t="str">
        <x:v>MAISON MÈRE / GROUPE</x:v>
      </x:c>
      <x:c r="E108" s="10" t="str">
        <x:v>King Ocean Services</x:v>
      </x:c>
      <x:c r="F108" s="10" t="str">
        <x:v>King Ocean Services</x:v>
      </x:c>
      <x:c r="G108" s="10" t="str"/>
      <x:c r="H108" s="10" t="str">
        <x:v>Groupe de rattachement</x:v>
      </x:c>
      <x:c r="I108" s="10" t="str">
        <x:v>NE</x:v>
      </x:c>
      <x:c r="J108" s="10" t="str">
        <x:v>États-Unis</x:v>
      </x:c>
      <x:c r="K108" s="10" t="str">
        <x:v>Régional</x:v>
      </x:c>
      <x:c r="L108" s="10" t="n">
        <x:v>0</x:v>
      </x:c>
      <x:c r="M108" s="10" t="n">
        <x:f>COUNTIF('Navires hiérarchisés V5'!$A$2:$A$229,A108)</x:f>
        <x:v>0</x:v>
      </x:c>
      <x:c r="N108" s="10" t="str">
        <x:f>IF(M108&gt;0,"OUI","NON")</x:f>
        <x:v>NON</x:v>
      </x:c>
      <x:c r="O108" s="10" t="str">
        <x:v>https://kingocean.com</x:v>
      </x:c>
      <x:c r="P108" s="10" t="str">
        <x:v>C - Aucune filiale maritime distincte identifiée dans les sources publiques utilisées</x:v>
      </x:c>
      <x:c r="Q108" s="10" t="str">
        <x:v>OUI</x:v>
      </x:c>
    </x:row>
    <x:row r="109">
      <x:c r="A109" s="10" t="str">
        <x:v>G055</x:v>
      </x:c>
      <x:c r="B109" s="10" t="str">
        <x:v>G055</x:v>
      </x:c>
      <x:c r="C109" s="10" t="str">
        <x:v>🏢</x:v>
      </x:c>
      <x:c r="D109" s="10" t="str">
        <x:v>MAISON MÈRE / GROUPE</x:v>
      </x:c>
      <x:c r="E109" s="10" t="str">
        <x:v>Linea Peninsular</x:v>
      </x:c>
      <x:c r="F109" s="10" t="str">
        <x:v>Linea Peninsular</x:v>
      </x:c>
      <x:c r="G109" s="10" t="str"/>
      <x:c r="H109" s="10" t="str">
        <x:v>Groupe de rattachement</x:v>
      </x:c>
      <x:c r="I109" s="10" t="str">
        <x:v>NE</x:v>
      </x:c>
      <x:c r="J109" s="10" t="str">
        <x:v>États-Unis</x:v>
      </x:c>
      <x:c r="K109" s="10" t="str">
        <x:v>Régional</x:v>
      </x:c>
      <x:c r="L109" s="10" t="n">
        <x:v>0</x:v>
      </x:c>
      <x:c r="M109" s="10" t="n">
        <x:f>COUNTIF('Navires hiérarchisés V5'!$A$2:$A$229,A109)</x:f>
        <x:v>0</x:v>
      </x:c>
      <x:c r="N109" s="10" t="str">
        <x:f>IF(M109&gt;0,"OUI","NON")</x:f>
        <x:v>NON</x:v>
      </x:c>
      <x:c r="O109" s="10" t="str">
        <x:v>https://lineapeninsular.com</x:v>
      </x:c>
      <x:c r="P109" s="10" t="str">
        <x:v>C - Aucune filiale maritime distincte identifiée dans les sources publiques utilisées</x:v>
      </x:c>
      <x:c r="Q109" s="10" t="str">
        <x:v>OUI</x:v>
      </x:c>
    </x:row>
    <x:row r="110">
      <x:c r="A110" s="10" t="str">
        <x:v>G056</x:v>
      </x:c>
      <x:c r="B110" s="10" t="str">
        <x:v>G056</x:v>
      </x:c>
      <x:c r="C110" s="10" t="str">
        <x:v>🏢</x:v>
      </x:c>
      <x:c r="D110" s="10" t="str">
        <x:v>MAISON MÈRE / GROUPE</x:v>
      </x:c>
      <x:c r="E110" s="10" t="str">
        <x:v>Network Shipping</x:v>
      </x:c>
      <x:c r="F110" s="10" t="str">
        <x:v>Network Shipping</x:v>
      </x:c>
      <x:c r="G110" s="10" t="str"/>
      <x:c r="H110" s="10" t="str">
        <x:v>Groupe de rattachement</x:v>
      </x:c>
      <x:c r="I110" s="10" t="str">
        <x:v>NE</x:v>
      </x:c>
      <x:c r="J110" s="10" t="str">
        <x:v>États-Unis</x:v>
      </x:c>
      <x:c r="K110" s="10" t="str">
        <x:v>Niche reefer / conteneur</x:v>
      </x:c>
      <x:c r="L110" s="10" t="n">
        <x:v>0</x:v>
      </x:c>
      <x:c r="M110" s="10" t="n">
        <x:f>COUNTIF('Navires hiérarchisés V5'!$A$2:$A$229,A110)</x:f>
        <x:v>0</x:v>
      </x:c>
      <x:c r="N110" s="10" t="str">
        <x:f>IF(M110&gt;0,"OUI","NON")</x:f>
        <x:v>NON</x:v>
      </x:c>
      <x:c r="O110" s="10" t="str">
        <x:v>https://networkshipping.com</x:v>
      </x:c>
      <x:c r="P110" s="10" t="str">
        <x:v>C - Aucune filiale maritime distincte identifiée dans les sources publiques utilisées</x:v>
      </x:c>
      <x:c r="Q110" s="10" t="str">
        <x:v>OUI</x:v>
      </x:c>
    </x:row>
    <x:row r="111">
      <x:c r="A111" s="10" t="str">
        <x:v>G057</x:v>
      </x:c>
      <x:c r="B111" s="10" t="str">
        <x:v>G057</x:v>
      </x:c>
      <x:c r="C111" s="10" t="str">
        <x:v>🏢</x:v>
      </x:c>
      <x:c r="D111" s="10" t="str">
        <x:v>MAISON MÈRE / GROUPE</x:v>
      </x:c>
      <x:c r="E111" s="10" t="str">
        <x:v>SEACOR Island Lines</x:v>
      </x:c>
      <x:c r="F111" s="10" t="str">
        <x:v>SEACOR Island Lines</x:v>
      </x:c>
      <x:c r="G111" s="10" t="str"/>
      <x:c r="H111" s="10" t="str">
        <x:v>Groupe de rattachement</x:v>
      </x:c>
      <x:c r="I111" s="10" t="str">
        <x:v>NE</x:v>
      </x:c>
      <x:c r="J111" s="10" t="str">
        <x:v>États-Unis</x:v>
      </x:c>
      <x:c r="K111" s="10" t="str">
        <x:v>Régional</x:v>
      </x:c>
      <x:c r="L111" s="10" t="n">
        <x:v>0</x:v>
      </x:c>
      <x:c r="M111" s="10" t="n">
        <x:f>COUNTIF('Navires hiérarchisés V5'!$A$2:$A$229,A111)</x:f>
        <x:v>0</x:v>
      </x:c>
      <x:c r="N111" s="10" t="str">
        <x:f>IF(M111&gt;0,"OUI","NON")</x:f>
        <x:v>NON</x:v>
      </x:c>
      <x:c r="O111" s="10" t="str">
        <x:v>https://eacorislandlines.com</x:v>
      </x:c>
      <x:c r="P111" s="10" t="str">
        <x:v>C - Aucune filiale maritime distincte identifiée dans les sources publiques utilisées</x:v>
      </x:c>
      <x:c r="Q111" s="10" t="str">
        <x:v>OUI</x:v>
      </x:c>
    </x:row>
    <x:row r="112">
      <x:c r="A112" s="10" t="str">
        <x:v>G058</x:v>
      </x:c>
      <x:c r="B112" s="10" t="str">
        <x:v>G058</x:v>
      </x:c>
      <x:c r="C112" s="10" t="str">
        <x:v>🏢</x:v>
      </x:c>
      <x:c r="D112" s="10" t="str">
        <x:v>MAISON MÈRE / GROUPE</x:v>
      </x:c>
      <x:c r="E112" s="10" t="str">
        <x:v>Tropical Shipping</x:v>
      </x:c>
      <x:c r="F112" s="10" t="str">
        <x:v>Tropical Shipping</x:v>
      </x:c>
      <x:c r="G112" s="10" t="str"/>
      <x:c r="H112" s="10" t="str">
        <x:v>Groupe de rattachement</x:v>
      </x:c>
      <x:c r="I112" s="10" t="str">
        <x:v>NE</x:v>
      </x:c>
      <x:c r="J112" s="10" t="str">
        <x:v>États-Unis</x:v>
      </x:c>
      <x:c r="K112" s="10" t="str">
        <x:v>Régional</x:v>
      </x:c>
      <x:c r="L112" s="10" t="n">
        <x:v>0</x:v>
      </x:c>
      <x:c r="M112" s="10" t="n">
        <x:f>COUNTIF('Navires hiérarchisés V5'!$A$2:$A$229,A112)</x:f>
        <x:v>0</x:v>
      </x:c>
      <x:c r="N112" s="10" t="str">
        <x:f>IF(M112&gt;0,"OUI","NON")</x:f>
        <x:v>NON</x:v>
      </x:c>
      <x:c r="O112" s="10" t="str">
        <x:v>https://ropical.com</x:v>
      </x:c>
      <x:c r="P112" s="10" t="str">
        <x:v>C - Aucune filiale maritime distincte identifiée dans les sources publiques utilisées</x:v>
      </x:c>
      <x:c r="Q112" s="10" t="str">
        <x:v>OUI</x:v>
      </x:c>
    </x:row>
    <x:row r="113">
      <x:c r="A113" s="10" t="str">
        <x:v>G059</x:v>
      </x:c>
      <x:c r="B113" s="10" t="str">
        <x:v>G059</x:v>
      </x:c>
      <x:c r="C113" s="10" t="str">
        <x:v>🏢</x:v>
      </x:c>
      <x:c r="D113" s="10" t="str">
        <x:v>MAISON MÈRE / GROUPE</x:v>
      </x:c>
      <x:c r="E113" s="10" t="str">
        <x:v>Turkon Line</x:v>
      </x:c>
      <x:c r="F113" s="10" t="str">
        <x:v>Turkon Line</x:v>
      </x:c>
      <x:c r="G113" s="10" t="str"/>
      <x:c r="H113" s="10" t="str">
        <x:v>Groupe de rattachement</x:v>
      </x:c>
      <x:c r="I113" s="10" t="str">
        <x:v>EU-A</x:v>
      </x:c>
      <x:c r="J113" s="10" t="str">
        <x:v>Türkiye</x:v>
      </x:c>
      <x:c r="K113" s="10" t="str">
        <x:v>Régional / deep-sea</x:v>
      </x:c>
      <x:c r="L113" s="10" t="n">
        <x:v>0</x:v>
      </x:c>
      <x:c r="M113" s="10" t="n">
        <x:f>COUNTIF('Navires hiérarchisés V5'!$A$2:$A$229,A113)</x:f>
        <x:v>0</x:v>
      </x:c>
      <x:c r="N113" s="10" t="str">
        <x:f>IF(M113&gt;0,"OUI","NON")</x:f>
        <x:v>NON</x:v>
      </x:c>
      <x:c r="O113" s="10" t="str">
        <x:v>https://urkon.com</x:v>
      </x:c>
      <x:c r="P113" s="10" t="str">
        <x:v>C - Aucune filiale maritime distincte identifiée dans les sources publiques utilisées</x:v>
      </x:c>
      <x:c r="Q113" s="10" t="str">
        <x:v>OUI</x:v>
      </x:c>
    </x:row>
    <x:row r="114">
      <x:c r="A114" s="10" t="str">
        <x:v>G060</x:v>
      </x:c>
      <x:c r="B114" s="10" t="str">
        <x:v>G060</x:v>
      </x:c>
      <x:c r="C114" s="10" t="str">
        <x:v>🏢</x:v>
      </x:c>
      <x:c r="D114" s="10" t="str">
        <x:v>MAISON MÈRE / GROUPE</x:v>
      </x:c>
      <x:c r="E114" s="10" t="str">
        <x:v>World Direct Shipping</x:v>
      </x:c>
      <x:c r="F114" s="10" t="str">
        <x:v>World Direct Shipping</x:v>
      </x:c>
      <x:c r="G114" s="10" t="str"/>
      <x:c r="H114" s="10" t="str">
        <x:v>Groupe de rattachement</x:v>
      </x:c>
      <x:c r="I114" s="10" t="str">
        <x:v>NE</x:v>
      </x:c>
      <x:c r="J114" s="10" t="str">
        <x:v>États-Unis</x:v>
      </x:c>
      <x:c r="K114" s="10" t="str">
        <x:v>Régional</x:v>
      </x:c>
      <x:c r="L114" s="10" t="n">
        <x:v>0</x:v>
      </x:c>
      <x:c r="M114" s="10" t="n">
        <x:f>COUNTIF('Navires hiérarchisés V5'!$A$2:$A$229,A114)</x:f>
        <x:v>0</x:v>
      </x:c>
      <x:c r="N114" s="10" t="str">
        <x:f>IF(M114&gt;0,"OUI","NON")</x:f>
        <x:v>NON</x:v>
      </x:c>
      <x:c r="O114" s="10" t="str">
        <x:v>https://worlddirectshipping.com</x:v>
      </x:c>
      <x:c r="P114" s="10" t="str">
        <x:v>C - Aucune filiale maritime distincte identifiée dans les sources publiques utilisées</x:v>
      </x:c>
      <x:c r="Q114" s="10" t="str">
        <x:v>OUI</x:v>
      </x:c>
    </x:row>
    <x:row r="115">
      <x:c r="A115" s="10" t="str">
        <x:v>G061</x:v>
      </x:c>
      <x:c r="B115" s="10" t="str">
        <x:v>G061</x:v>
      </x:c>
      <x:c r="C115" s="10" t="str">
        <x:v>🏢</x:v>
      </x:c>
      <x:c r="D115" s="10" t="str">
        <x:v>MAISON MÈRE / GROUPE</x:v>
      </x:c>
      <x:c r="E115" s="10" t="str">
        <x:v>Pasha Hawaii</x:v>
      </x:c>
      <x:c r="F115" s="10" t="str">
        <x:v>Pasha Hawaii</x:v>
      </x:c>
      <x:c r="G115" s="10" t="str"/>
      <x:c r="H115" s="10" t="str">
        <x:v>Groupe de rattachement</x:v>
      </x:c>
      <x:c r="I115" s="10" t="str">
        <x:v>NE</x:v>
      </x:c>
      <x:c r="J115" s="10" t="str">
        <x:v>États-Unis</x:v>
      </x:c>
      <x:c r="K115" s="10" t="str">
        <x:v>Régional</x:v>
      </x:c>
      <x:c r="L115" s="10" t="n">
        <x:v>0</x:v>
      </x:c>
      <x:c r="M115" s="10" t="n">
        <x:f>COUNTIF('Navires hiérarchisés V5'!$A$2:$A$229,A115)</x:f>
        <x:v>0</x:v>
      </x:c>
      <x:c r="N115" s="10" t="str">
        <x:f>IF(M115&gt;0,"OUI","NON")</x:f>
        <x:v>NON</x:v>
      </x:c>
      <x:c r="O115" s="10" t="str">
        <x:v>https://ashahawaii.com</x:v>
      </x:c>
      <x:c r="P115" s="10" t="str">
        <x:v>C - Aucune filiale maritime distincte identifiée dans les sources publiques utilisées</x:v>
      </x:c>
      <x:c r="Q115" s="10" t="str">
        <x:v>OUI</x:v>
      </x:c>
    </x:row>
    <x:row r="116">
      <x:c r="A116" s="10" t="str">
        <x:v>G062</x:v>
      </x:c>
      <x:c r="B116" s="10" t="str">
        <x:v>G062</x:v>
      </x:c>
      <x:c r="C116" s="10" t="str">
        <x:v>🏢</x:v>
      </x:c>
      <x:c r="D116" s="10" t="str">
        <x:v>MAISON MÈRE / GROUPE</x:v>
      </x:c>
      <x:c r="E116" s="10" t="str">
        <x:v>TOTE Maritime</x:v>
      </x:c>
      <x:c r="F116" s="10" t="str">
        <x:v>TOTE Maritime</x:v>
      </x:c>
      <x:c r="G116" s="10" t="str"/>
      <x:c r="H116" s="10" t="str">
        <x:v>Groupe de rattachement</x:v>
      </x:c>
      <x:c r="I116" s="10" t="str">
        <x:v>NE</x:v>
      </x:c>
      <x:c r="J116" s="10" t="str">
        <x:v>États-Unis</x:v>
      </x:c>
      <x:c r="K116" s="10" t="str">
        <x:v>Régional</x:v>
      </x:c>
      <x:c r="L116" s="10" t="n">
        <x:v>0</x:v>
      </x:c>
      <x:c r="M116" s="10" t="n">
        <x:f>COUNTIF('Navires hiérarchisés V5'!$A$2:$A$229,A116)</x:f>
        <x:v>0</x:v>
      </x:c>
      <x:c r="N116" s="10" t="str">
        <x:f>IF(M116&gt;0,"OUI","NON")</x:f>
        <x:v>NON</x:v>
      </x:c>
      <x:c r="O116" s="10" t="str">
        <x:v>https://otemaritime.com</x:v>
      </x:c>
      <x:c r="P116" s="10" t="str">
        <x:v>C - Aucune filiale maritime distincte identifiée dans les sources publiques utilisées</x:v>
      </x:c>
      <x:c r="Q116" s="10" t="str">
        <x:v>OUI</x:v>
      </x:c>
    </x:row>
    <x:row r="117">
      <x:c r="A117" s="10" t="str">
        <x:v>G063</x:v>
      </x:c>
      <x:c r="B117" s="10" t="str">
        <x:v>G063</x:v>
      </x:c>
      <x:c r="C117" s="10" t="str">
        <x:v>🏢</x:v>
      </x:c>
      <x:c r="D117" s="10" t="str">
        <x:v>MAISON MÈRE / GROUPE</x:v>
      </x:c>
      <x:c r="E117" s="10" t="str">
        <x:v>Royal Arctic Line</x:v>
      </x:c>
      <x:c r="F117" s="10" t="str">
        <x:v>Royal Arctic Line</x:v>
      </x:c>
      <x:c r="G117" s="10" t="str"/>
      <x:c r="H117" s="10" t="str">
        <x:v>Groupe de rattachement</x:v>
      </x:c>
      <x:c r="I117" s="10" t="str">
        <x:v>EU-A</x:v>
      </x:c>
      <x:c r="J117" s="10" t="str">
        <x:v>Groenland</x:v>
      </x:c>
      <x:c r="K117" s="10" t="str">
        <x:v>Régional</x:v>
      </x:c>
      <x:c r="L117" s="10" t="n">
        <x:v>0</x:v>
      </x:c>
      <x:c r="M117" s="10" t="n">
        <x:f>COUNTIF('Navires hiérarchisés V5'!$A$2:$A$229,A117)</x:f>
        <x:v>0</x:v>
      </x:c>
      <x:c r="N117" s="10" t="str">
        <x:f>IF(M117&gt;0,"OUI","NON")</x:f>
        <x:v>NON</x:v>
      </x:c>
      <x:c r="O117" s="10" t="str">
        <x:v>https://ral.gl</x:v>
      </x:c>
      <x:c r="P117" s="10" t="str">
        <x:v>C - Aucune filiale maritime distincte identifiée dans les sources publiques utilisées</x:v>
      </x:c>
      <x:c r="Q117" s="10" t="str">
        <x:v>OUI</x:v>
      </x:c>
    </x:row>
    <x:row r="118">
      <x:c r="A118" s="10" t="str">
        <x:v>G064</x:v>
      </x:c>
      <x:c r="B118" s="10" t="str">
        <x:v>G064</x:v>
      </x:c>
      <x:c r="C118" s="10" t="str">
        <x:v>🏢</x:v>
      </x:c>
      <x:c r="D118" s="10" t="str">
        <x:v>MAISON MÈRE / GROUPE</x:v>
      </x:c>
      <x:c r="E118" s="10" t="str">
        <x:v>Marfret</x:v>
      </x:c>
      <x:c r="F118" s="10" t="str">
        <x:v>Marfret</x:v>
      </x:c>
      <x:c r="G118" s="10" t="str"/>
      <x:c r="H118" s="10" t="str">
        <x:v>Groupe de rattachement</x:v>
      </x:c>
      <x:c r="I118" s="10" t="str">
        <x:v>EU-A</x:v>
      </x:c>
      <x:c r="J118" s="10" t="str">
        <x:v>France</x:v>
      </x:c>
      <x:c r="K118" s="10" t="str">
        <x:v>Régional / niche</x:v>
      </x:c>
      <x:c r="L118" s="10" t="n">
        <x:v>0</x:v>
      </x:c>
      <x:c r="M118" s="10" t="n">
        <x:f>COUNTIF('Navires hiérarchisés V5'!$A$2:$A$229,A118)</x:f>
        <x:v>1</x:v>
      </x:c>
      <x:c r="N118" s="10" t="str">
        <x:f>IF(M118&gt;0,"OUI","NON")</x:f>
        <x:v>OUI</x:v>
      </x:c>
      <x:c r="O118" s="10" t="str">
        <x:v>https://marfret.com</x:v>
      </x:c>
      <x:c r="P118" s="10" t="str">
        <x:v>C - Aucune filiale maritime distincte identifiée dans les sources publiques utilisées</x:v>
      </x:c>
      <x:c r="Q118" s="10" t="str">
        <x:v>OUI</x:v>
      </x:c>
    </x:row>
    <x:row r="119">
      <x:c r="A119" s="10" t="str">
        <x:v>G065</x:v>
      </x:c>
      <x:c r="B119" s="10" t="str">
        <x:v>G065</x:v>
      </x:c>
      <x:c r="C119" s="10" t="str">
        <x:v>🏢</x:v>
      </x:c>
      <x:c r="D119" s="10" t="str">
        <x:v>MAISON MÈRE / GROUPE</x:v>
      </x:c>
      <x:c r="E119" s="10" t="str">
        <x:v>Tarros</x:v>
      </x:c>
      <x:c r="F119" s="10" t="str">
        <x:v>Tarros</x:v>
      </x:c>
      <x:c r="G119" s="10" t="str"/>
      <x:c r="H119" s="10" t="str">
        <x:v>Groupe de rattachement</x:v>
      </x:c>
      <x:c r="I119" s="10" t="str">
        <x:v>EU-A</x:v>
      </x:c>
      <x:c r="J119" s="10" t="str">
        <x:v>Italie</x:v>
      </x:c>
      <x:c r="K119" s="10" t="str">
        <x:v>Régional</x:v>
      </x:c>
      <x:c r="L119" s="10" t="n">
        <x:v>0</x:v>
      </x:c>
      <x:c r="M119" s="10" t="n">
        <x:f>COUNTIF('Navires hiérarchisés V5'!$A$2:$A$229,A119)</x:f>
        <x:v>0</x:v>
      </x:c>
      <x:c r="N119" s="10" t="str">
        <x:f>IF(M119&gt;0,"OUI","NON")</x:f>
        <x:v>NON</x:v>
      </x:c>
      <x:c r="O119" s="10" t="str">
        <x:v>https://arros.it</x:v>
      </x:c>
      <x:c r="P119" s="10" t="str">
        <x:v>C - Aucune filiale maritime distincte identifiée dans les sources publiques utilisées</x:v>
      </x:c>
      <x:c r="Q119" s="10" t="str">
        <x:v>OUI</x:v>
      </x:c>
    </x:row>
    <x:row r="120">
      <x:c r="A120" s="10" t="str">
        <x:v>G066</x:v>
      </x:c>
      <x:c r="B120" s="10" t="str">
        <x:v>G066</x:v>
      </x:c>
      <x:c r="C120" s="10" t="str">
        <x:v>🏢</x:v>
      </x:c>
      <x:c r="D120" s="10" t="str">
        <x:v>MAISON MÈRE / GROUPE</x:v>
      </x:c>
      <x:c r="E120" s="10" t="str">
        <x:v>Medkon Lines</x:v>
      </x:c>
      <x:c r="F120" s="10" t="str">
        <x:v>Medkon Lines</x:v>
      </x:c>
      <x:c r="G120" s="10" t="str"/>
      <x:c r="H120" s="10" t="str">
        <x:v>Groupe de rattachement</x:v>
      </x:c>
      <x:c r="I120" s="10" t="str">
        <x:v>EU-A</x:v>
      </x:c>
      <x:c r="J120" s="10" t="str">
        <x:v>Türkiye</x:v>
      </x:c>
      <x:c r="K120" s="10" t="str">
        <x:v>Régional / feeder</x:v>
      </x:c>
      <x:c r="L120" s="10" t="n">
        <x:v>0</x:v>
      </x:c>
      <x:c r="M120" s="10" t="n">
        <x:f>COUNTIF('Navires hiérarchisés V5'!$A$2:$A$229,A120)</x:f>
        <x:v>0</x:v>
      </x:c>
      <x:c r="N120" s="10" t="str">
        <x:f>IF(M120&gt;0,"OUI","NON")</x:f>
        <x:v>NON</x:v>
      </x:c>
      <x:c r="O120" s="10" t="str">
        <x:v>https://medkonlines.com</x:v>
      </x:c>
      <x:c r="P120" s="10" t="str">
        <x:v>C - Aucune filiale maritime distincte identifiée dans les sources publiques utilisées</x:v>
      </x:c>
      <x:c r="Q120" s="10" t="str">
        <x:v>OUI</x:v>
      </x:c>
    </x:row>
    <x:row r="121">
      <x:c r="A121" s="10" t="str">
        <x:v>G067</x:v>
      </x:c>
      <x:c r="B121" s="10" t="str">
        <x:v>G067</x:v>
      </x:c>
      <x:c r="C121" s="10" t="str">
        <x:v>🏢</x:v>
      </x:c>
      <x:c r="D121" s="10" t="str">
        <x:v>MAISON MÈRE / GROUPE</x:v>
      </x:c>
      <x:c r="E121" s="10" t="str">
        <x:v>Borchard Lines</x:v>
      </x:c>
      <x:c r="F121" s="10" t="str">
        <x:v>Borchard Lines</x:v>
      </x:c>
      <x:c r="G121" s="10" t="str"/>
      <x:c r="H121" s="10" t="str">
        <x:v>Groupe de rattachement</x:v>
      </x:c>
      <x:c r="I121" s="10" t="str">
        <x:v>EU-A</x:v>
      </x:c>
      <x:c r="J121" s="10" t="str">
        <x:v>Royaume-Uni</x:v>
      </x:c>
      <x:c r="K121" s="10" t="str">
        <x:v>Régional</x:v>
      </x:c>
      <x:c r="L121" s="10" t="n">
        <x:v>0</x:v>
      </x:c>
      <x:c r="M121" s="10" t="n">
        <x:f>COUNTIF('Navires hiérarchisés V5'!$A$2:$A$229,A121)</x:f>
        <x:v>0</x:v>
      </x:c>
      <x:c r="N121" s="10" t="str">
        <x:f>IF(M121&gt;0,"OUI","NON")</x:f>
        <x:v>NON</x:v>
      </x:c>
      <x:c r="O121" s="10" t="str">
        <x:v>https://borchardlines.com</x:v>
      </x:c>
      <x:c r="P121" s="10" t="str">
        <x:v>C - Aucune filiale maritime distincte identifiée dans les sources publiques utilisées</x:v>
      </x:c>
      <x:c r="Q121" s="10" t="str">
        <x:v>OUI</x:v>
      </x:c>
    </x:row>
    <x:row r="122">
      <x:c r="A122" s="10" t="str">
        <x:v>G068</x:v>
      </x:c>
      <x:c r="B122" s="10" t="str">
        <x:v>G068</x:v>
      </x:c>
      <x:c r="C122" s="10" t="str">
        <x:v>🏢</x:v>
      </x:c>
      <x:c r="D122" s="10" t="str">
        <x:v>MAISON MÈRE / GROUPE</x:v>
      </x:c>
      <x:c r="E122" s="10" t="str">
        <x:v>Boluda Shipping</x:v>
      </x:c>
      <x:c r="F122" s="10" t="str">
        <x:v>Boluda Shipping</x:v>
      </x:c>
      <x:c r="G122" s="10" t="str"/>
      <x:c r="H122" s="10" t="str">
        <x:v>Groupe de rattachement</x:v>
      </x:c>
      <x:c r="I122" s="10" t="str">
        <x:v>EU-A</x:v>
      </x:c>
      <x:c r="J122" s="10" t="str">
        <x:v>Espagne</x:v>
      </x:c>
      <x:c r="K122" s="10" t="str">
        <x:v>Régional</x:v>
      </x:c>
      <x:c r="L122" s="10" t="n">
        <x:v>0</x:v>
      </x:c>
      <x:c r="M122" s="10" t="n">
        <x:f>COUNTIF('Navires hiérarchisés V5'!$A$2:$A$229,A122)</x:f>
        <x:v>0</x:v>
      </x:c>
      <x:c r="N122" s="10" t="str">
        <x:f>IF(M122&gt;0,"OUI","NON")</x:f>
        <x:v>NON</x:v>
      </x:c>
      <x:c r="O122" s="10" t="str">
        <x:v>https://boluda.com</x:v>
      </x:c>
      <x:c r="P122" s="10" t="str">
        <x:v>C - Aucune filiale maritime distincte identifiée dans les sources publiques utilisées</x:v>
      </x:c>
      <x:c r="Q122" s="10" t="str">
        <x:v>OUI</x:v>
      </x:c>
    </x:row>
    <x:row r="123">
      <x:c r="A123" s="10" t="str">
        <x:v>G069</x:v>
      </x:c>
      <x:c r="B123" s="10" t="str">
        <x:v>G069</x:v>
      </x:c>
      <x:c r="C123" s="10" t="str">
        <x:v>🏢</x:v>
      </x:c>
      <x:c r="D123" s="10" t="str">
        <x:v>MAISON MÈRE / GROUPE</x:v>
      </x:c>
      <x:c r="E123" s="10" t="str">
        <x:v>Geest Line</x:v>
      </x:c>
      <x:c r="F123" s="10" t="str">
        <x:v>Geest Line</x:v>
      </x:c>
      <x:c r="G123" s="10" t="str"/>
      <x:c r="H123" s="10" t="str">
        <x:v>Groupe de rattachement</x:v>
      </x:c>
      <x:c r="I123" s="10" t="str">
        <x:v>EU-A</x:v>
      </x:c>
      <x:c r="J123" s="10" t="str">
        <x:v>Royaume-Uni</x:v>
      </x:c>
      <x:c r="K123" s="10" t="str">
        <x:v>Niche</x:v>
      </x:c>
      <x:c r="L123" s="10" t="n">
        <x:v>0</x:v>
      </x:c>
      <x:c r="M123" s="10" t="n">
        <x:f>COUNTIF('Navires hiérarchisés V5'!$A$2:$A$229,A123)</x:f>
        <x:v>0</x:v>
      </x:c>
      <x:c r="N123" s="10" t="str">
        <x:f>IF(M123&gt;0,"OUI","NON")</x:f>
        <x:v>NON</x:v>
      </x:c>
      <x:c r="O123" s="10" t="str">
        <x:v>https://geestline.com</x:v>
      </x:c>
      <x:c r="P123" s="10" t="str">
        <x:v>C - Aucune filiale maritime distincte identifiée dans les sources publiques utilisées</x:v>
      </x:c>
      <x:c r="Q123" s="10" t="str">
        <x:v>OUI</x:v>
      </x:c>
    </x:row>
    <x:row r="124">
      <x:c r="A124" s="10" t="str">
        <x:v>G070</x:v>
      </x:c>
      <x:c r="B124" s="10" t="str">
        <x:v>G070</x:v>
      </x:c>
      <x:c r="C124" s="10" t="str">
        <x:v>🏢</x:v>
      </x:c>
      <x:c r="D124" s="10" t="str">
        <x:v>MAISON MÈRE / GROUPE</x:v>
      </x:c>
      <x:c r="E124" s="10" t="str">
        <x:v>Nirint Shipping</x:v>
      </x:c>
      <x:c r="F124" s="10" t="str">
        <x:v>Nirint Shipping</x:v>
      </x:c>
      <x:c r="G124" s="10" t="str"/>
      <x:c r="H124" s="10" t="str">
        <x:v>Groupe de rattachement</x:v>
      </x:c>
      <x:c r="I124" s="10" t="str">
        <x:v>EU-A</x:v>
      </x:c>
      <x:c r="J124" s="10" t="str">
        <x:v>Pays-Bas</x:v>
      </x:c>
      <x:c r="K124" s="10" t="str">
        <x:v>Niche</x:v>
      </x:c>
      <x:c r="L124" s="10" t="n">
        <x:v>0</x:v>
      </x:c>
      <x:c r="M124" s="10" t="n">
        <x:f>COUNTIF('Navires hiérarchisés V5'!$A$2:$A$229,A124)</x:f>
        <x:v>0</x:v>
      </x:c>
      <x:c r="N124" s="10" t="str">
        <x:f>IF(M124&gt;0,"OUI","NON")</x:f>
        <x:v>NON</x:v>
      </x:c>
      <x:c r="O124" s="10" t="str">
        <x:v>https://nirint.com</x:v>
      </x:c>
      <x:c r="P124" s="10" t="str">
        <x:v>C - Aucune filiale maritime distincte identifiée dans les sources publiques utilisées</x:v>
      </x:c>
      <x:c r="Q124" s="10" t="str">
        <x:v>OUI</x:v>
      </x:c>
    </x:row>
    <x:row r="125">
      <x:c r="A125" s="10" t="str">
        <x:v>G071</x:v>
      </x:c>
      <x:c r="B125" s="10" t="str">
        <x:v>G071</x:v>
      </x:c>
      <x:c r="C125" s="10" t="str">
        <x:v>🏢</x:v>
      </x:c>
      <x:c r="D125" s="10" t="str">
        <x:v>MAISON MÈRE / GROUPE</x:v>
      </x:c>
      <x:c r="E125" s="10" t="str">
        <x:v>Kambara Kisen</x:v>
      </x:c>
      <x:c r="F125" s="10" t="str">
        <x:v>Kambara Kisen</x:v>
      </x:c>
      <x:c r="G125" s="10" t="str"/>
      <x:c r="H125" s="10" t="str">
        <x:v>Groupe de rattachement</x:v>
      </x:c>
      <x:c r="I125" s="10" t="str">
        <x:v>NE</x:v>
      </x:c>
      <x:c r="J125" s="10" t="str">
        <x:v>Japon</x:v>
      </x:c>
      <x:c r="K125" s="10" t="str">
        <x:v>Régional</x:v>
      </x:c>
      <x:c r="L125" s="10" t="n">
        <x:v>0</x:v>
      </x:c>
      <x:c r="M125" s="10" t="n">
        <x:f>COUNTIF('Navires hiérarchisés V5'!$A$2:$A$229,A125)</x:f>
        <x:v>0</x:v>
      </x:c>
      <x:c r="N125" s="10" t="str">
        <x:f>IF(M125&gt;0,"OUI","NON")</x:f>
        <x:v>NON</x:v>
      </x:c>
      <x:c r="O125" s="10" t="str">
        <x:v>https://kambara-kisen.co.jp</x:v>
      </x:c>
      <x:c r="P125" s="10" t="str">
        <x:v>C - Aucune filiale maritime distincte identifiée dans les sources publiques utilisées</x:v>
      </x:c>
      <x:c r="Q125" s="10" t="str">
        <x:v>OUI</x:v>
      </x:c>
    </x:row>
    <x:row r="126">
      <x:c r="A126" s="10" t="str">
        <x:v>G072</x:v>
      </x:c>
      <x:c r="B126" s="10" t="str">
        <x:v>G072</x:v>
      </x:c>
      <x:c r="C126" s="10" t="str">
        <x:v>🏢</x:v>
      </x:c>
      <x:c r="D126" s="10" t="str">
        <x:v>MAISON MÈRE / GROUPE</x:v>
      </x:c>
      <x:c r="E126" s="10" t="str">
        <x:v>Pan Continental Shipping (PanCon)</x:v>
      </x:c>
      <x:c r="F126" s="10" t="str">
        <x:v>Pan Continental Shipping (PanCon)</x:v>
      </x:c>
      <x:c r="G126" s="10" t="str"/>
      <x:c r="H126" s="10" t="str">
        <x:v>Groupe de rattachement</x:v>
      </x:c>
      <x:c r="I126" s="10" t="str">
        <x:v>NE</x:v>
      </x:c>
      <x:c r="J126" s="10" t="str">
        <x:v>Corée du Sud</x:v>
      </x:c>
      <x:c r="K126" s="10" t="str">
        <x:v>Régional</x:v>
      </x:c>
      <x:c r="L126" s="10" t="n">
        <x:v>0</x:v>
      </x:c>
      <x:c r="M126" s="10" t="n">
        <x:f>COUNTIF('Navires hiérarchisés V5'!$A$2:$A$229,A126)</x:f>
        <x:v>0</x:v>
      </x:c>
      <x:c r="N126" s="10" t="str">
        <x:f>IF(M126&gt;0,"OUI","NON")</x:f>
        <x:v>NON</x:v>
      </x:c>
      <x:c r="O126" s="10" t="str">
        <x:v>https://ancon.co.kr</x:v>
      </x:c>
      <x:c r="P126" s="10" t="str">
        <x:v>C - Aucune filiale maritime distincte identifiée dans les sources publiques utilisées</x:v>
      </x:c>
      <x:c r="Q126" s="10" t="str">
        <x:v>OUI</x:v>
      </x:c>
    </x:row>
    <x:row r="127">
      <x:c r="A127" s="10" t="str">
        <x:v>G073</x:v>
      </x:c>
      <x:c r="B127" s="10" t="str">
        <x:v>G073</x:v>
      </x:c>
      <x:c r="C127" s="10" t="str">
        <x:v>🏢</x:v>
      </x:c>
      <x:c r="D127" s="10" t="str">
        <x:v>MAISON MÈRE / GROUPE</x:v>
      </x:c>
      <x:c r="E127" s="10" t="str">
        <x:v>Dongjin Shipping</x:v>
      </x:c>
      <x:c r="F127" s="10" t="str">
        <x:v>Dongjin Shipping</x:v>
      </x:c>
      <x:c r="G127" s="10" t="str"/>
      <x:c r="H127" s="10" t="str">
        <x:v>Groupe de rattachement</x:v>
      </x:c>
      <x:c r="I127" s="10" t="str">
        <x:v>NE</x:v>
      </x:c>
      <x:c r="J127" s="10" t="str">
        <x:v>Corée du Sud</x:v>
      </x:c>
      <x:c r="K127" s="10" t="str">
        <x:v>Régional</x:v>
      </x:c>
      <x:c r="L127" s="10" t="n">
        <x:v>0</x:v>
      </x:c>
      <x:c r="M127" s="10" t="n">
        <x:f>COUNTIF('Navires hiérarchisés V5'!$A$2:$A$229,A127)</x:f>
        <x:v>0</x:v>
      </x:c>
      <x:c r="N127" s="10" t="str">
        <x:f>IF(M127&gt;0,"OUI","NON")</x:f>
        <x:v>NON</x:v>
      </x:c>
      <x:c r="O127" s="10" t="str">
        <x:v>https://djship.co.kr</x:v>
      </x:c>
      <x:c r="P127" s="10" t="str">
        <x:v>C - Aucune filiale maritime distincte identifiée dans les sources publiques utilisées</x:v>
      </x:c>
      <x:c r="Q127" s="10" t="str">
        <x:v>OUI</x:v>
      </x:c>
    </x:row>
    <x:row r="128">
      <x:c r="A128" s="10" t="str">
        <x:v>G074</x:v>
      </x:c>
      <x:c r="B128" s="10" t="str">
        <x:v>G074</x:v>
      </x:c>
      <x:c r="C128" s="10" t="str">
        <x:v>🏢</x:v>
      </x:c>
      <x:c r="D128" s="10" t="str">
        <x:v>MAISON MÈRE / GROUPE</x:v>
      </x:c>
      <x:c r="E128" s="10" t="str">
        <x:v>Asean Seas Line (ASL)</x:v>
      </x:c>
      <x:c r="F128" s="10" t="str">
        <x:v>Asean Seas Line (ASL)</x:v>
      </x:c>
      <x:c r="G128" s="10" t="str"/>
      <x:c r="H128" s="10" t="str">
        <x:v>Groupe de rattachement</x:v>
      </x:c>
      <x:c r="I128" s="10" t="str">
        <x:v>NE</x:v>
      </x:c>
      <x:c r="J128" s="10" t="str">
        <x:v>Chine</x:v>
      </x:c>
      <x:c r="K128" s="10" t="str">
        <x:v>Régional</x:v>
      </x:c>
      <x:c r="L128" s="10" t="n">
        <x:v>0</x:v>
      </x:c>
      <x:c r="M128" s="10" t="n">
        <x:f>COUNTIF('Navires hiérarchisés V5'!$A$2:$A$229,A128)</x:f>
        <x:v>0</x:v>
      </x:c>
      <x:c r="N128" s="10" t="str">
        <x:f>IF(M128&gt;0,"OUI","NON")</x:f>
        <x:v>NON</x:v>
      </x:c>
      <x:c r="O128" s="10" t="str">
        <x:v>https://aslshipping.com</x:v>
      </x:c>
      <x:c r="P128" s="10" t="str">
        <x:v>C - Aucune filiale maritime distincte identifiée dans les sources publiques utilisées</x:v>
      </x:c>
      <x:c r="Q128" s="10" t="str">
        <x:v>OUI</x:v>
      </x:c>
    </x:row>
    <x:row r="129">
      <x:c r="A129" s="10" t="str">
        <x:v>G075</x:v>
      </x:c>
      <x:c r="B129" s="10" t="str">
        <x:v>G075</x:v>
      </x:c>
      <x:c r="C129" s="10" t="str">
        <x:v>🏢</x:v>
      </x:c>
      <x:c r="D129" s="10" t="str">
        <x:v>MAISON MÈRE / GROUPE</x:v>
      </x:c>
      <x:c r="E129" s="10" t="str">
        <x:v>MTT Shipping</x:v>
      </x:c>
      <x:c r="F129" s="10" t="str">
        <x:v>MTT Shipping</x:v>
      </x:c>
      <x:c r="G129" s="10" t="str"/>
      <x:c r="H129" s="10" t="str">
        <x:v>Groupe de rattachement</x:v>
      </x:c>
      <x:c r="I129" s="10" t="str">
        <x:v>NE</x:v>
      </x:c>
      <x:c r="J129" s="10" t="str">
        <x:v>Malaisie</x:v>
      </x:c>
      <x:c r="K129" s="10" t="str">
        <x:v>Régional</x:v>
      </x:c>
      <x:c r="L129" s="10" t="n">
        <x:v>0</x:v>
      </x:c>
      <x:c r="M129" s="10" t="n">
        <x:f>COUNTIF('Navires hiérarchisés V5'!$A$2:$A$229,A129)</x:f>
        <x:v>0</x:v>
      </x:c>
      <x:c r="N129" s="10" t="str">
        <x:f>IF(M129&gt;0,"OUI","NON")</x:f>
        <x:v>NON</x:v>
      </x:c>
      <x:c r="O129" s="10" t="str">
        <x:v>https://mttshipping.com.my</x:v>
      </x:c>
      <x:c r="P129" s="10" t="str">
        <x:v>C - Aucune filiale maritime distincte identifiée dans les sources publiques utilisées</x:v>
      </x:c>
      <x:c r="Q129" s="10" t="str">
        <x:v>OUI</x:v>
      </x:c>
    </x:row>
    <x:row r="130">
      <x:c r="A130" s="10" t="str">
        <x:v>G076</x:v>
      </x:c>
      <x:c r="B130" s="10" t="str">
        <x:v>G076</x:v>
      </x:c>
      <x:c r="C130" s="10" t="str">
        <x:v>🏢</x:v>
      </x:c>
      <x:c r="D130" s="10" t="str">
        <x:v>MAISON MÈRE / GROUPE</x:v>
      </x:c>
      <x:c r="E130" s="10" t="str">
        <x:v>Taicang Container Lines</x:v>
      </x:c>
      <x:c r="F130" s="10" t="str">
        <x:v>Taicang Container Lines</x:v>
      </x:c>
      <x:c r="G130" s="10" t="str"/>
      <x:c r="H130" s="10" t="str">
        <x:v>Groupe de rattachement</x:v>
      </x:c>
      <x:c r="I130" s="10" t="str">
        <x:v>NE</x:v>
      </x:c>
      <x:c r="J130" s="10" t="str">
        <x:v>Chine</x:v>
      </x:c>
      <x:c r="K130" s="10" t="str">
        <x:v>Régional</x:v>
      </x:c>
      <x:c r="L130" s="10" t="n">
        <x:v>0</x:v>
      </x:c>
      <x:c r="M130" s="10" t="n">
        <x:f>COUNTIF('Navires hiérarchisés V5'!$A$2:$A$229,A130)</x:f>
        <x:v>0</x:v>
      </x:c>
      <x:c r="N130" s="10" t="str">
        <x:f>IF(M130&gt;0,"OUI","NON")</x:f>
        <x:v>NON</x:v>
      </x:c>
      <x:c r="O130" s="10" t="str"/>
      <x:c r="P130" s="10" t="str">
        <x:v>C - Aucune filiale maritime distincte identifiée dans les sources publiques utilisées</x:v>
      </x:c>
      <x:c r="Q130" s="10" t="str">
        <x:v>OUI</x:v>
      </x:c>
    </x:row>
    <x:row r="131">
      <x:c r="A131" s="10" t="str">
        <x:v>G077</x:v>
      </x:c>
      <x:c r="B131" s="10" t="str">
        <x:v>G077</x:v>
      </x:c>
      <x:c r="C131" s="10" t="str">
        <x:v>🏢</x:v>
      </x:c>
      <x:c r="D131" s="10" t="str">
        <x:v>MAISON MÈRE / GROUPE</x:v>
      </x:c>
      <x:c r="E131" s="10" t="str">
        <x:v>Milaha Container Shipping</x:v>
      </x:c>
      <x:c r="F131" s="10" t="str">
        <x:v>Milaha Container Shipping</x:v>
      </x:c>
      <x:c r="G131" s="10" t="str"/>
      <x:c r="H131" s="10" t="str">
        <x:v>Groupe de rattachement</x:v>
      </x:c>
      <x:c r="I131" s="10" t="str">
        <x:v>EU-A</x:v>
      </x:c>
      <x:c r="J131" s="10" t="str">
        <x:v>Qatar</x:v>
      </x:c>
      <x:c r="K131" s="10" t="str">
        <x:v>Feeder / régional</x:v>
      </x:c>
      <x:c r="L131" s="10" t="n">
        <x:v>0</x:v>
      </x:c>
      <x:c r="M131" s="10" t="n">
        <x:f>COUNTIF('Navires hiérarchisés V5'!$A$2:$A$229,A131)</x:f>
        <x:v>0</x:v>
      </x:c>
      <x:c r="N131" s="10" t="str">
        <x:f>IF(M131&gt;0,"OUI","NON")</x:f>
        <x:v>NON</x:v>
      </x:c>
      <x:c r="O131" s="10" t="str">
        <x:v>https://milaha.com</x:v>
      </x:c>
      <x:c r="P131" s="10" t="str">
        <x:v>C - Aucune filiale maritime distincte identifiée dans les sources publiques utilisées</x:v>
      </x:c>
      <x:c r="Q131" s="10" t="str">
        <x:v>OUI</x:v>
      </x:c>
    </x:row>
    <x:row r="132">
      <x:c r="A132" s="10" t="str">
        <x:v>G078</x:v>
      </x:c>
      <x:c r="B132" s="10" t="str">
        <x:v>G078</x:v>
      </x:c>
      <x:c r="C132" s="10" t="str">
        <x:v>🏢</x:v>
      </x:c>
      <x:c r="D132" s="10" t="str">
        <x:v>MAISON MÈRE / GROUPE</x:v>
      </x:c>
      <x:c r="E132" s="10" t="str">
        <x:v>UAFL (United Africa Feeder Line)</x:v>
      </x:c>
      <x:c r="F132" s="10" t="str">
        <x:v>UAFL (United Africa Feeder Line)</x:v>
      </x:c>
      <x:c r="G132" s="10" t="str"/>
      <x:c r="H132" s="10" t="str">
        <x:v>Groupe de rattachement</x:v>
      </x:c>
      <x:c r="I132" s="10" t="str">
        <x:v>NE</x:v>
      </x:c>
      <x:c r="J132" s="10" t="str">
        <x:v>Émirats arabes unis</x:v>
      </x:c>
      <x:c r="K132" s="10" t="str">
        <x:v>Régional / feeder</x:v>
      </x:c>
      <x:c r="L132" s="10" t="n">
        <x:v>0</x:v>
      </x:c>
      <x:c r="M132" s="10" t="n">
        <x:f>COUNTIF('Navires hiérarchisés V5'!$A$2:$A$229,A132)</x:f>
        <x:v>0</x:v>
      </x:c>
      <x:c r="N132" s="10" t="str">
        <x:f>IF(M132&gt;0,"OUI","NON")</x:f>
        <x:v>NON</x:v>
      </x:c>
      <x:c r="O132" s="10" t="str">
        <x:v>https://uaflshipping.com</x:v>
      </x:c>
      <x:c r="P132" s="10" t="str">
        <x:v>C - Aucune filiale maritime distincte identifiée dans les sources publiques utilisées</x:v>
      </x:c>
      <x:c r="Q132" s="10" t="str">
        <x:v>OUI</x:v>
      </x:c>
    </x:row>
    <x:row r="133">
      <x:c r="A133" s="10" t="str">
        <x:v>G079</x:v>
      </x:c>
      <x:c r="B133" s="10" t="str">
        <x:v>G079</x:v>
      </x:c>
      <x:c r="C133" s="10" t="str">
        <x:v>🏢</x:v>
      </x:c>
      <x:c r="D133" s="10" t="str">
        <x:v>MAISON MÈRE / GROUPE</x:v>
      </x:c>
      <x:c r="E133" s="10" t="str">
        <x:v>ASYAD Line</x:v>
      </x:c>
      <x:c r="F133" s="10" t="str">
        <x:v>ASYAD Line</x:v>
      </x:c>
      <x:c r="G133" s="10" t="str"/>
      <x:c r="H133" s="10" t="str">
        <x:v>Groupe de rattachement</x:v>
      </x:c>
      <x:c r="I133" s="10" t="str">
        <x:v>NE</x:v>
      </x:c>
      <x:c r="J133" s="10" t="str">
        <x:v>Oman</x:v>
      </x:c>
      <x:c r="K133" s="10" t="str">
        <x:v>Régional</x:v>
      </x:c>
      <x:c r="L133" s="10" t="n">
        <x:v>0</x:v>
      </x:c>
      <x:c r="M133" s="10" t="n">
        <x:f>COUNTIF('Navires hiérarchisés V5'!$A$2:$A$229,A133)</x:f>
        <x:v>0</x:v>
      </x:c>
      <x:c r="N133" s="10" t="str">
        <x:f>IF(M133&gt;0,"OUI","NON")</x:f>
        <x:v>NON</x:v>
      </x:c>
      <x:c r="O133" s="10" t="str">
        <x:v>https://asyadline.com</x:v>
      </x:c>
      <x:c r="P133" s="10" t="str">
        <x:v>C - Aucune filiale maritime distincte identifiée dans les sources publiques utilisées</x:v>
      </x:c>
      <x:c r="Q133" s="10" t="str">
        <x:v>OUI</x:v>
      </x:c>
    </x:row>
    <x:row r="134">
      <x:c r="A134" s="10" t="str">
        <x:v>G080</x:v>
      </x:c>
      <x:c r="B134" s="10" t="str">
        <x:v>G080</x:v>
      </x:c>
      <x:c r="C134" s="10" t="str">
        <x:v>🏢</x:v>
      </x:c>
      <x:c r="D134" s="10" t="str">
        <x:v>MAISON MÈRE / GROUPE</x:v>
      </x:c>
      <x:c r="E134" s="10" t="str">
        <x:v>Ethiopian Shipping &amp; Logistics</x:v>
      </x:c>
      <x:c r="F134" s="10" t="str">
        <x:v>Ethiopian Shipping &amp; Logistics</x:v>
      </x:c>
      <x:c r="G134" s="10" t="str"/>
      <x:c r="H134" s="10" t="str">
        <x:v>Groupe de rattachement</x:v>
      </x:c>
      <x:c r="I134" s="10" t="str">
        <x:v>NE</x:v>
      </x:c>
      <x:c r="J134" s="10" t="str">
        <x:v>Éthiopie</x:v>
      </x:c>
      <x:c r="K134" s="10" t="str">
        <x:v>Régional / national</x:v>
      </x:c>
      <x:c r="L134" s="10" t="n">
        <x:v>0</x:v>
      </x:c>
      <x:c r="M134" s="10" t="n">
        <x:f>COUNTIF('Navires hiérarchisés V5'!$A$2:$A$229,A134)</x:f>
        <x:v>0</x:v>
      </x:c>
      <x:c r="N134" s="10" t="str">
        <x:f>IF(M134&gt;0,"OUI","NON")</x:f>
        <x:v>NON</x:v>
      </x:c>
      <x:c r="O134" s="10" t="str">
        <x:v>https://eslse.et</x:v>
      </x:c>
      <x:c r="P134" s="10" t="str">
        <x:v>C - Aucune filiale maritime distincte identifiée dans les sources publiques utilisées</x:v>
      </x:c>
      <x:c r="Q134" s="10" t="str">
        <x:v>OUI</x:v>
      </x:c>
    </x:row>
    <x:row r="135">
      <x:c r="A135" s="10" t="str">
        <x:v>G081</x:v>
      </x:c>
      <x:c r="B135" s="10" t="str">
        <x:v>G081</x:v>
      </x:c>
      <x:c r="C135" s="10" t="str">
        <x:v>🏢</x:v>
      </x:c>
      <x:c r="D135" s="10" t="str">
        <x:v>MAISON MÈRE / GROUPE</x:v>
      </x:c>
      <x:c r="E135" s="10" t="str">
        <x:v>Bermuda Container Line</x:v>
      </x:c>
      <x:c r="F135" s="10" t="str">
        <x:v>Bermuda Container Line</x:v>
      </x:c>
      <x:c r="G135" s="10" t="str"/>
      <x:c r="H135" s="10" t="str">
        <x:v>Groupe de rattachement</x:v>
      </x:c>
      <x:c r="I135" s="10" t="str">
        <x:v>NE</x:v>
      </x:c>
      <x:c r="J135" s="10" t="str">
        <x:v>Bermudes</x:v>
      </x:c>
      <x:c r="K135" s="10" t="str">
        <x:v>Niche</x:v>
      </x:c>
      <x:c r="L135" s="10" t="n">
        <x:v>0</x:v>
      </x:c>
      <x:c r="M135" s="10" t="n">
        <x:f>COUNTIF('Navires hiérarchisés V5'!$A$2:$A$229,A135)</x:f>
        <x:v>0</x:v>
      </x:c>
      <x:c r="N135" s="10" t="str">
        <x:f>IF(M135&gt;0,"OUI","NON")</x:f>
        <x:v>NON</x:v>
      </x:c>
      <x:c r="O135" s="10" t="str">
        <x:v>https://bcl.bm</x:v>
      </x:c>
      <x:c r="P135" s="10" t="str">
        <x:v>C - Aucune filiale maritime distincte identifiée dans les sources publiques utilisées</x:v>
      </x:c>
      <x:c r="Q135" s="10" t="str">
        <x:v>OUI</x:v>
      </x:c>
    </x:row>
    <x:row r="136">
      <x:c r="A136" s="10" t="str">
        <x:v>G082</x:v>
      </x:c>
      <x:c r="B136" s="10" t="str">
        <x:v>G082</x:v>
      </x:c>
      <x:c r="C136" s="10" t="str">
        <x:v>🏢</x:v>
      </x:c>
      <x:c r="D136" s="10" t="str">
        <x:v>MAISON MÈRE / GROUPE</x:v>
      </x:c>
      <x:c r="E136" s="10" t="str">
        <x:v>StreamLines</x:v>
      </x:c>
      <x:c r="F136" s="10" t="str">
        <x:v>StreamLines</x:v>
      </x:c>
      <x:c r="G136" s="10" t="str"/>
      <x:c r="H136" s="10" t="str">
        <x:v>Groupe de rattachement</x:v>
      </x:c>
      <x:c r="I136" s="10" t="str">
        <x:v>EU-A</x:v>
      </x:c>
      <x:c r="J136" s="10" t="str">
        <x:v>Pays-Bas</x:v>
      </x:c>
      <x:c r="K136" s="10" t="str">
        <x:v>Niche reefer / conteneur</x:v>
      </x:c>
      <x:c r="L136" s="10" t="n">
        <x:v>0</x:v>
      </x:c>
      <x:c r="M136" s="10" t="n">
        <x:f>COUNTIF('Navires hiérarchisés V5'!$A$2:$A$229,A136)</x:f>
        <x:v>0</x:v>
      </x:c>
      <x:c r="N136" s="10" t="str">
        <x:f>IF(M136&gt;0,"OUI","NON")</x:f>
        <x:v>NON</x:v>
      </x:c>
      <x:c r="O136" s="10" t="str">
        <x:v>https://reamlinesnv.com</x:v>
      </x:c>
      <x:c r="P136" s="10" t="str">
        <x:v>C - Aucune filiale maritime distincte identifiée dans les sources publiques utilisées</x:v>
      </x:c>
      <x:c r="Q136" s="10" t="str">
        <x:v>OUI</x:v>
      </x:c>
    </x:row>
    <x:row r="137">
      <x:c r="A137" s="10" t="str">
        <x:v>G083</x:v>
      </x:c>
      <x:c r="B137" s="10" t="str">
        <x:v>G083</x:v>
      </x:c>
      <x:c r="C137" s="10" t="str">
        <x:v>🏢</x:v>
      </x:c>
      <x:c r="D137" s="10" t="str">
        <x:v>MAISON MÈRE / GROUPE</x:v>
      </x:c>
      <x:c r="E137" s="10" t="str">
        <x:v>Trailer Bridge</x:v>
      </x:c>
      <x:c r="F137" s="10" t="str">
        <x:v>Trailer Bridge</x:v>
      </x:c>
      <x:c r="G137" s="10" t="str"/>
      <x:c r="H137" s="10" t="str">
        <x:v>Groupe de rattachement</x:v>
      </x:c>
      <x:c r="I137" s="10" t="str">
        <x:v>NE</x:v>
      </x:c>
      <x:c r="J137" s="10" t="str">
        <x:v>États-Unis</x:v>
      </x:c>
      <x:c r="K137" s="10" t="str">
        <x:v>Régional</x:v>
      </x:c>
      <x:c r="L137" s="10" t="n">
        <x:v>0</x:v>
      </x:c>
      <x:c r="M137" s="10" t="n">
        <x:f>COUNTIF('Navires hiérarchisés V5'!$A$2:$A$229,A137)</x:f>
        <x:v>0</x:v>
      </x:c>
      <x:c r="N137" s="10" t="str">
        <x:f>IF(M137&gt;0,"OUI","NON")</x:f>
        <x:v>NON</x:v>
      </x:c>
      <x:c r="O137" s="10" t="str">
        <x:v>https://railerbridge.com</x:v>
      </x:c>
      <x:c r="P137" s="10" t="str">
        <x:v>C - Aucune filiale maritime distincte identifiée dans les sources publiques utilisées</x:v>
      </x:c>
      <x:c r="Q137" s="10" t="str">
        <x:v>OUI</x:v>
      </x:c>
    </x:row>
    <x:row r="138">
      <x:c r="A138" s="10" t="str">
        <x:v>G084</x:v>
      </x:c>
      <x:c r="B138" s="10" t="str">
        <x:v>G084</x:v>
      </x:c>
      <x:c r="C138" s="10" t="str">
        <x:v>🏢</x:v>
      </x:c>
      <x:c r="D138" s="10" t="str">
        <x:v>MAISON MÈRE / GROUPE</x:v>
      </x:c>
      <x:c r="E138" s="10" t="str">
        <x:v>Carpenters Shipping</x:v>
      </x:c>
      <x:c r="F138" s="10" t="str">
        <x:v>Carpenters Shipping</x:v>
      </x:c>
      <x:c r="G138" s="10" t="str"/>
      <x:c r="H138" s="10" t="str">
        <x:v>Groupe de rattachement</x:v>
      </x:c>
      <x:c r="I138" s="10" t="str">
        <x:v>NE</x:v>
      </x:c>
      <x:c r="J138" s="10" t="str">
        <x:v>Fidji</x:v>
      </x:c>
      <x:c r="K138" s="10" t="str">
        <x:v>Régional</x:v>
      </x:c>
      <x:c r="L138" s="10" t="n">
        <x:v>0</x:v>
      </x:c>
      <x:c r="M138" s="10" t="n">
        <x:f>COUNTIF('Navires hiérarchisés V5'!$A$2:$A$229,A138)</x:f>
        <x:v>0</x:v>
      </x:c>
      <x:c r="N138" s="10" t="str">
        <x:f>IF(M138&gt;0,"OUI","NON")</x:f>
        <x:v>NON</x:v>
      </x:c>
      <x:c r="O138" s="10" t="str">
        <x:v>https://carpentersshipping.com</x:v>
      </x:c>
      <x:c r="P138" s="10" t="str">
        <x:v>C - Aucune filiale maritime distincte identifiée dans les sources publiques utilisées</x:v>
      </x:c>
      <x:c r="Q138" s="10" t="str">
        <x:v>OUI</x:v>
      </x:c>
    </x:row>
    <x:row r="139">
      <x:c r="A139" s="10" t="str">
        <x:v>G085</x:v>
      </x:c>
      <x:c r="B139" s="10" t="str">
        <x:v>G085</x:v>
      </x:c>
      <x:c r="C139" s="10" t="str">
        <x:v>🏢</x:v>
      </x:c>
      <x:c r="D139" s="10" t="str">
        <x:v>MAISON MÈRE / GROUPE</x:v>
      </x:c>
      <x:c r="E139" s="10" t="str">
        <x:v>Polynesia Line</x:v>
      </x:c>
      <x:c r="F139" s="10" t="str">
        <x:v>Polynesia Line</x:v>
      </x:c>
      <x:c r="G139" s="10" t="str"/>
      <x:c r="H139" s="10" t="str">
        <x:v>Groupe de rattachement</x:v>
      </x:c>
      <x:c r="I139" s="10" t="str">
        <x:v>NE</x:v>
      </x:c>
      <x:c r="J139" s="10" t="str">
        <x:v>Nouvelle-Zélande / Pacifique</x:v>
      </x:c>
      <x:c r="K139" s="10" t="str">
        <x:v>Régional</x:v>
      </x:c>
      <x:c r="L139" s="10" t="n">
        <x:v>0</x:v>
      </x:c>
      <x:c r="M139" s="10" t="n">
        <x:f>COUNTIF('Navires hiérarchisés V5'!$A$2:$A$229,A139)</x:f>
        <x:v>0</x:v>
      </x:c>
      <x:c r="N139" s="10" t="str">
        <x:f>IF(M139&gt;0,"OUI","NON")</x:f>
        <x:v>NON</x:v>
      </x:c>
      <x:c r="O139" s="10" t="str">
        <x:v>https://olynesialine.com</x:v>
      </x:c>
      <x:c r="P139" s="10" t="str">
        <x:v>C - Aucune filiale maritime distincte identifiée dans les sources publiques utilisées</x:v>
      </x:c>
      <x:c r="Q139" s="10" t="str">
        <x:v>OUI</x:v>
      </x:c>
    </x:row>
    <x:row r="140">
      <x:c r="A140" s="10" t="str">
        <x:v>G086</x:v>
      </x:c>
      <x:c r="B140" s="10" t="str">
        <x:v>G086</x:v>
      </x:c>
      <x:c r="C140" s="10" t="str">
        <x:v>🏢</x:v>
      </x:c>
      <x:c r="D140" s="10" t="str">
        <x:v>MAISON MÈRE / GROUPE</x:v>
      </x:c>
      <x:c r="E140" s="10" t="str">
        <x:v>Trans Asia Shipping Lines</x:v>
      </x:c>
      <x:c r="F140" s="10" t="str">
        <x:v>Trans Asia Shipping Lines</x:v>
      </x:c>
      <x:c r="G140" s="10" t="str"/>
      <x:c r="H140" s="10" t="str">
        <x:v>Groupe de rattachement</x:v>
      </x:c>
      <x:c r="I140" s="10" t="str">
        <x:v>NE</x:v>
      </x:c>
      <x:c r="J140" s="10" t="str">
        <x:v>Philippines</x:v>
      </x:c>
      <x:c r="K140" s="10" t="str">
        <x:v>Domestique / régional</x:v>
      </x:c>
      <x:c r="L140" s="10" t="n">
        <x:v>0</x:v>
      </x:c>
      <x:c r="M140" s="10" t="n">
        <x:f>COUNTIF('Navires hiérarchisés V5'!$A$2:$A$229,A140)</x:f>
        <x:v>0</x:v>
      </x:c>
      <x:c r="N140" s="10" t="str">
        <x:f>IF(M140&gt;0,"OUI","NON")</x:f>
        <x:v>NON</x:v>
      </x:c>
      <x:c r="O140" s="10" t="str">
        <x:v>https://ransasiashipping.com</x:v>
      </x:c>
      <x:c r="P140" s="10" t="str">
        <x:v>C - Aucune filiale maritime distincte identifiée dans les sources publiques utilisées</x:v>
      </x:c>
      <x:c r="Q140" s="10" t="str">
        <x:v>OUI</x:v>
      </x:c>
    </x:row>
    <x:row r="141">
      <x:c r="A141" s="10" t="str">
        <x:v>G087</x:v>
      </x:c>
      <x:c r="B141" s="10" t="str">
        <x:v>G087</x:v>
      </x:c>
      <x:c r="C141" s="10" t="str">
        <x:v>🏢</x:v>
      </x:c>
      <x:c r="D141" s="10" t="str">
        <x:v>MAISON MÈRE / GROUPE</x:v>
      </x:c>
      <x:c r="E141" s="10" t="str">
        <x:v>Shipping Corporation of India (SCI)</x:v>
      </x:c>
      <x:c r="F141" s="10" t="str">
        <x:v>Shipping Corporation of India (SCI)</x:v>
      </x:c>
      <x:c r="G141" s="10" t="str"/>
      <x:c r="H141" s="10" t="str">
        <x:v>Groupe de rattachement</x:v>
      </x:c>
      <x:c r="I141" s="10" t="str">
        <x:v>EU-B</x:v>
      </x:c>
      <x:c r="J141" s="10" t="str">
        <x:v>Inde</x:v>
      </x:c>
      <x:c r="K141" s="10" t="str">
        <x:v>Mixte / régional</x:v>
      </x:c>
      <x:c r="L141" s="10" t="n">
        <x:v>0</x:v>
      </x:c>
      <x:c r="M141" s="10" t="n">
        <x:f>COUNTIF('Navires hiérarchisés V5'!$A$2:$A$229,A141)</x:f>
        <x:v>1</x:v>
      </x:c>
      <x:c r="N141" s="10" t="str">
        <x:f>IF(M141&gt;0,"OUI","NON")</x:f>
        <x:v>OUI</x:v>
      </x:c>
      <x:c r="O141" s="10" t="str">
        <x:v>https://ipindia.com</x:v>
      </x:c>
      <x:c r="P141" s="10" t="str">
        <x:v>C - Aucune filiale maritime distincte identifiée dans les sources publiques utilisées</x:v>
      </x:c>
      <x:c r="Q141" s="10" t="str">
        <x:v>OUI</x:v>
      </x:c>
    </x:row>
    <x:row r="142">
      <x:c r="A142" s="10" t="str">
        <x:v>G088</x:v>
      </x:c>
      <x:c r="B142" s="10" t="str">
        <x:v>G088</x:v>
      </x:c>
      <x:c r="C142" s="10" t="str">
        <x:v>🏢</x:v>
      </x:c>
      <x:c r="D142" s="10" t="str">
        <x:v>MAISON MÈRE / GROUPE</x:v>
      </x:c>
      <x:c r="E142" s="10" t="str">
        <x:v>Samskip</x:v>
      </x:c>
      <x:c r="F142" s="10" t="str">
        <x:v>Samskip</x:v>
      </x:c>
      <x:c r="G142" s="10" t="str"/>
      <x:c r="H142" s="10" t="str">
        <x:v>Groupe de rattachement</x:v>
      </x:c>
      <x:c r="I142" s="10" t="str">
        <x:v>EU-A</x:v>
      </x:c>
      <x:c r="J142" s="10" t="str">
        <x:v>Pays-Bas</x:v>
      </x:c>
      <x:c r="K142" s="10" t="str">
        <x:v>Short-sea / multimodal</x:v>
      </x:c>
      <x:c r="L142" s="10" t="n">
        <x:v>2</x:v>
      </x:c>
      <x:c r="M142" s="10" t="n">
        <x:f>COUNTIF('Navires hiérarchisés V5'!$A$2:$A$229,A142)</x:f>
        <x:v>0</x:v>
      </x:c>
      <x:c r="N142" s="10" t="str">
        <x:f>IF(M142&gt;0,"OUI","NON")</x:f>
        <x:v>NON</x:v>
      </x:c>
      <x:c r="O142" s="10" t="str">
        <x:v>https://alphaliner.axsmarine.com/PublicTop100//</x:v>
      </x:c>
      <x:c r="P142" s="10" t="str">
        <x:v>A - Filiales consolidées listées publiquement par Alphaliner</x:v>
      </x:c>
      <x:c r="Q142" s="10" t="str">
        <x:v>OUI</x:v>
      </x:c>
    </x:row>
    <x:row r="143">
      <x:c r="A143" s="10" t="str">
        <x:v>G088</x:v>
      </x:c>
      <x:c r="B143" s="10" t="str">
        <x:v>G088-F01</x:v>
      </x:c>
      <x:c r="C143" s="10" t="str">
        <x:v>↳</x:v>
      </x:c>
      <x:c r="D143" s="10" t="str">
        <x:v>FILIALE / MARQUE / ENTITÉ</x:v>
      </x:c>
      <x:c r="E143" s="10" t="str">
        <x:v>Nor Lines A/S</x:v>
      </x:c>
      <x:c r="F143" s="10" t="str">
        <x:v>Samskip</x:v>
      </x:c>
      <x:c r="G143" s="10" t="str">
        <x:v>Filiale / marque consolidée</x:v>
      </x:c>
      <x:c r="H143" s="10" t="str">
        <x:v>Consolidée dans le groupe</x:v>
      </x:c>
      <x:c r="I143" s="10" t="str">
        <x:v>EU-A</x:v>
      </x:c>
      <x:c r="J143" s="10" t="str">
        <x:v>Pays-Bas</x:v>
      </x:c>
      <x:c r="K143" s="10" t="str">
        <x:v>Short-sea / multimodal</x:v>
      </x:c>
      <x:c r="L143" s="10"/>
      <x:c r="M143" s="10" t="n">
        <x:f>COUNTIF('Navires hiérarchisés V5'!$B$2:$B$229,B143)</x:f>
        <x:v>0</x:v>
      </x:c>
      <x:c r="N143" s="10" t="str">
        <x:f>IF(M143&gt;0,"OUI","NON")</x:f>
        <x:v>NON</x:v>
      </x:c>
      <x:c r="O143" s="10" t="str">
        <x:v>https://alphaliner.axsmarine.com/PublicTop100//</x:v>
      </x:c>
      <x:c r="P143" s="10" t="str">
        <x:v>A - Filiales consolidées listées publiquement par Alphaliner</x:v>
      </x:c>
      <x:c r="Q143" s="10" t="str">
        <x:v>NON</x:v>
      </x:c>
    </x:row>
    <x:row r="144">
      <x:c r="A144" s="10" t="str">
        <x:v>G088</x:v>
      </x:c>
      <x:c r="B144" s="10" t="str">
        <x:v>G088-F02</x:v>
      </x:c>
      <x:c r="C144" s="10" t="str">
        <x:v>↳</x:v>
      </x:c>
      <x:c r="D144" s="10" t="str">
        <x:v>FILIALE / MARQUE / ENTITÉ</x:v>
      </x:c>
      <x:c r="E144" s="10" t="str">
        <x:v>Seaconnect</x:v>
      </x:c>
      <x:c r="F144" s="10" t="str">
        <x:v>Samskip</x:v>
      </x:c>
      <x:c r="G144" s="10" t="str">
        <x:v>Filiale / marque consolidée</x:v>
      </x:c>
      <x:c r="H144" s="10" t="str">
        <x:v>Consolidée dans le groupe</x:v>
      </x:c>
      <x:c r="I144" s="10" t="str">
        <x:v>EU-A</x:v>
      </x:c>
      <x:c r="J144" s="10" t="str">
        <x:v>Pays-Bas</x:v>
      </x:c>
      <x:c r="K144" s="10" t="str">
        <x:v>Short-sea / multimodal</x:v>
      </x:c>
      <x:c r="L144" s="10"/>
      <x:c r="M144" s="10" t="n">
        <x:f>COUNTIF('Navires hiérarchisés V5'!$B$2:$B$229,B144)</x:f>
        <x:v>0</x:v>
      </x:c>
      <x:c r="N144" s="10" t="str">
        <x:f>IF(M144&gt;0,"OUI","NON")</x:f>
        <x:v>NON</x:v>
      </x:c>
      <x:c r="O144" s="10" t="str">
        <x:v>https://alphaliner.axsmarine.com/PublicTop100//</x:v>
      </x:c>
      <x:c r="P144" s="10" t="str">
        <x:v>A - Filiales consolidées listées publiquement par Alphaliner</x:v>
      </x:c>
      <x:c r="Q144" s="10" t="str">
        <x:v>NON</x:v>
      </x:c>
    </x:row>
    <x:row r="145">
      <x:c r="A145" s="10" t="str">
        <x:v>G089</x:v>
      </x:c>
      <x:c r="B145" s="10" t="str">
        <x:v>G089</x:v>
      </x:c>
      <x:c r="C145" s="10" t="str">
        <x:v>🏢</x:v>
      </x:c>
      <x:c r="D145" s="10" t="str">
        <x:v>MAISON MÈRE / GROUPE</x:v>
      </x:c>
      <x:c r="E145" s="10" t="str">
        <x:v>CLdN</x:v>
      </x:c>
      <x:c r="F145" s="10" t="str">
        <x:v>CLdN</x:v>
      </x:c>
      <x:c r="G145" s="10" t="str"/>
      <x:c r="H145" s="10" t="str">
        <x:v>Groupe de rattachement</x:v>
      </x:c>
      <x:c r="I145" s="10" t="str">
        <x:v>EU-A</x:v>
      </x:c>
      <x:c r="J145" s="10" t="str">
        <x:v>Luxembourg</x:v>
      </x:c>
      <x:c r="K145" s="10" t="str">
        <x:v>Mixte / short-sea</x:v>
      </x:c>
      <x:c r="L145" s="10" t="n">
        <x:v>0</x:v>
      </x:c>
      <x:c r="M145" s="10" t="n">
        <x:f>COUNTIF('Navires hiérarchisés V5'!$A$2:$A$229,A145)</x:f>
        <x:v>0</x:v>
      </x:c>
      <x:c r="N145" s="10" t="str">
        <x:f>IF(M145&gt;0,"OUI","NON")</x:f>
        <x:v>NON</x:v>
      </x:c>
      <x:c r="O145" s="10" t="str">
        <x:v>https://cldn.com</x:v>
      </x:c>
      <x:c r="P145" s="10" t="str">
        <x:v>C - Aucune filiale maritime distincte identifiée dans les sources publiques utilisées</x:v>
      </x:c>
      <x:c r="Q145" s="10" t="str">
        <x:v>OUI</x:v>
      </x:c>
    </x:row>
    <x:row r="146">
      <x:c r="A146" s="10" t="str">
        <x:v>G090</x:v>
      </x:c>
      <x:c r="B146" s="10" t="str">
        <x:v>G090</x:v>
      </x:c>
      <x:c r="C146" s="10" t="str">
        <x:v>🏢</x:v>
      </x:c>
      <x:c r="D146" s="10" t="str">
        <x:v>MAISON MÈRE / GROUPE</x:v>
      </x:c>
      <x:c r="E146" s="10" t="str">
        <x:v>Transworld Group</x:v>
      </x:c>
      <x:c r="F146" s="10" t="str">
        <x:v>Transworld Group</x:v>
      </x:c>
      <x:c r="G146" s="10" t="str"/>
      <x:c r="H146" s="10" t="str">
        <x:v>Groupe de rattachement</x:v>
      </x:c>
      <x:c r="I146" s="10" t="str">
        <x:v>À qualifier</x:v>
      </x:c>
      <x:c r="J146" s="10" t="str"/>
      <x:c r="K146" s="10" t="str">
        <x:v>Ajout V5 - parent Alphaliner</x:v>
      </x:c>
      <x:c r="L146" s="10" t="n">
        <x:v>1</x:v>
      </x:c>
      <x:c r="M146" s="10" t="n">
        <x:f>COUNTIF('Navires hiérarchisés V5'!$A$2:$A$229,A146)</x:f>
        <x:v>0</x:v>
      </x:c>
      <x:c r="N146" s="10" t="str">
        <x:f>IF(M146&gt;0,"OUI","NON")</x:f>
        <x:v>NON</x:v>
      </x:c>
      <x:c r="O146" s="10" t="str">
        <x:v>https://alphaliner.axsmarine.com/PublicTop100//</x:v>
      </x:c>
      <x:c r="P146" s="10" t="str">
        <x:v>A - Filiales consolidées listées publiquement par Alphaliner</x:v>
      </x:c>
      <x:c r="Q146" s="10" t="str">
        <x:v>AJOUT V5</x:v>
      </x:c>
    </x:row>
    <x:row r="147">
      <x:c r="A147" s="10" t="str">
        <x:v>G090</x:v>
      </x:c>
      <x:c r="B147" s="10" t="str">
        <x:v>G090-F01</x:v>
      </x:c>
      <x:c r="C147" s="10" t="str">
        <x:v>↳</x:v>
      </x:c>
      <x:c r="D147" s="10" t="str">
        <x:v>FILIALE / MARQUE / ENTITÉ</x:v>
      </x:c>
      <x:c r="E147" s="10" t="str">
        <x:v>Straits Orient Lines</x:v>
      </x:c>
      <x:c r="F147" s="10" t="str">
        <x:v>Transworld Group</x:v>
      </x:c>
      <x:c r="G147" s="10" t="str">
        <x:v>Filiale / marque consolidée</x:v>
      </x:c>
      <x:c r="H147" s="10" t="str">
        <x:v>Consolidée dans le groupe</x:v>
      </x:c>
      <x:c r="I147" s="10" t="str">
        <x:v>À qualifier</x:v>
      </x:c>
      <x:c r="J147" s="10" t="str"/>
      <x:c r="K147" s="10" t="str">
        <x:v>Ajout V5 - parent Alphaliner</x:v>
      </x:c>
      <x:c r="L147" s="10"/>
      <x:c r="M147" s="10" t="n">
        <x:f>COUNTIF('Navires hiérarchisés V5'!$B$2:$B$229,B147)</x:f>
        <x:v>0</x:v>
      </x:c>
      <x:c r="N147" s="10" t="str">
        <x:f>IF(M147&gt;0,"OUI","NON")</x:f>
        <x:v>NON</x:v>
      </x:c>
      <x:c r="O147" s="10" t="str">
        <x:v>https://alphaliner.axsmarine.com/PublicTop100//</x:v>
      </x:c>
      <x:c r="P147" s="10" t="str">
        <x:v>A - Filiales consolidées listées publiquement par Alphaliner</x:v>
      </x:c>
      <x:c r="Q147" s="10" t="str">
        <x:v>NON</x:v>
      </x:c>
    </x:row>
    <x:row r="148">
      <x:c r="A148" s="10" t="str">
        <x:v>G091</x:v>
      </x:c>
      <x:c r="B148" s="10" t="str">
        <x:v>G091</x:v>
      </x:c>
      <x:c r="C148" s="10" t="str">
        <x:v>🏢</x:v>
      </x:c>
      <x:c r="D148" s="10" t="str">
        <x:v>MAISON MÈRE / GROUPE</x:v>
      </x:c>
      <x:c r="E148" s="10" t="str">
        <x:v>Rifline</x:v>
      </x:c>
      <x:c r="F148" s="10" t="str">
        <x:v>Rifline</x:v>
      </x:c>
      <x:c r="G148" s="10" t="str"/>
      <x:c r="H148" s="10" t="str">
        <x:v>Groupe de rattachement</x:v>
      </x:c>
      <x:c r="I148" s="10" t="str">
        <x:v>À qualifier</x:v>
      </x:c>
      <x:c r="J148" s="10" t="str"/>
      <x:c r="K148" s="10" t="str">
        <x:v>Ajout V5 - parent Alphaliner</x:v>
      </x:c>
      <x:c r="L148" s="10" t="n">
        <x:v>1</x:v>
      </x:c>
      <x:c r="M148" s="10" t="n">
        <x:f>COUNTIF('Navires hiérarchisés V5'!$A$2:$A$229,A148)</x:f>
        <x:v>0</x:v>
      </x:c>
      <x:c r="N148" s="10" t="str">
        <x:f>IF(M148&gt;0,"OUI","NON")</x:f>
        <x:v>NON</x:v>
      </x:c>
      <x:c r="O148" s="10" t="str">
        <x:v>https://alphaliner.axsmarine.com/PublicTop100//</x:v>
      </x:c>
      <x:c r="P148" s="10" t="str">
        <x:v>A - Filiales consolidées listées publiquement par Alphaliner</x:v>
      </x:c>
      <x:c r="Q148" s="10" t="str">
        <x:v>AJOUT V5</x:v>
      </x:c>
    </x:row>
    <x:row r="149">
      <x:c r="A149" s="10" t="str">
        <x:v>G091</x:v>
      </x:c>
      <x:c r="B149" s="10" t="str">
        <x:v>G091-F01</x:v>
      </x:c>
      <x:c r="C149" s="10" t="str">
        <x:v>↳</x:v>
      </x:c>
      <x:c r="D149" s="10" t="str">
        <x:v>FILIALE / MARQUE / ENTITÉ</x:v>
      </x:c>
      <x:c r="E149" s="10" t="str">
        <x:v>Kalypso</x:v>
      </x:c>
      <x:c r="F149" s="10" t="str">
        <x:v>Rifline</x:v>
      </x:c>
      <x:c r="G149" s="10" t="str">
        <x:v>Filiale / marque consolidée</x:v>
      </x:c>
      <x:c r="H149" s="10" t="str">
        <x:v>Consolidée dans le groupe</x:v>
      </x:c>
      <x:c r="I149" s="10" t="str">
        <x:v>À qualifier</x:v>
      </x:c>
      <x:c r="J149" s="10" t="str"/>
      <x:c r="K149" s="10" t="str">
        <x:v>Ajout V5 - parent Alphaliner</x:v>
      </x:c>
      <x:c r="L149" s="10"/>
      <x:c r="M149" s="10" t="n">
        <x:f>COUNTIF('Navires hiérarchisés V5'!$B$2:$B$229,B149)</x:f>
        <x:v>0</x:v>
      </x:c>
      <x:c r="N149" s="10" t="str">
        <x:f>IF(M149&gt;0,"OUI","NON")</x:f>
        <x:v>NON</x:v>
      </x:c>
      <x:c r="O149" s="10" t="str">
        <x:v>https://alphaliner.axsmarine.com/PublicTop100//</x:v>
      </x:c>
      <x:c r="P149" s="10" t="str">
        <x:v>A - Filiales consolidées listées publiquement par Alphaliner</x:v>
      </x:c>
      <x:c r="Q149" s="10" t="str">
        <x:v>NON</x:v>
      </x:c>
    </x:row>
    <x:row r="150">
      <x:c r="A150" s="10" t="str">
        <x:v>G092</x:v>
      </x:c>
      <x:c r="B150" s="10" t="str">
        <x:v>G092</x:v>
      </x:c>
      <x:c r="C150" s="10" t="str">
        <x:v>🏢</x:v>
      </x:c>
      <x:c r="D150" s="10" t="str">
        <x:v>MAISON MÈRE / GROUPE</x:v>
      </x:c>
      <x:c r="E150" s="10" t="str">
        <x:v>Peel Ports</x:v>
      </x:c>
      <x:c r="F150" s="10" t="str">
        <x:v>Peel Ports</x:v>
      </x:c>
      <x:c r="G150" s="10" t="str"/>
      <x:c r="H150" s="10" t="str">
        <x:v>Groupe de rattachement</x:v>
      </x:c>
      <x:c r="I150" s="10" t="str">
        <x:v>Europe</x:v>
      </x:c>
      <x:c r="J150" s="10" t="str">
        <x:v>Royaume-Uni</x:v>
      </x:c>
      <x:c r="K150" s="10" t="str">
        <x:v>Ajout V5 - parent Alphaliner</x:v>
      </x:c>
      <x:c r="L150" s="10" t="n">
        <x:v>1</x:v>
      </x:c>
      <x:c r="M150" s="10" t="n">
        <x:f>COUNTIF('Navires hiérarchisés V5'!$A$2:$A$229,A150)</x:f>
        <x:v>1</x:v>
      </x:c>
      <x:c r="N150" s="10" t="str">
        <x:f>IF(M150&gt;0,"OUI","NON")</x:f>
        <x:v>OUI</x:v>
      </x:c>
      <x:c r="O150" s="10" t="str">
        <x:v>https://alphaliner.axsmarine.com/PublicTop100//</x:v>
      </x:c>
      <x:c r="P150" s="10" t="str">
        <x:v>A - Filiales consolidées listées publiquement par Alphaliner</x:v>
      </x:c>
      <x:c r="Q150" s="10" t="str">
        <x:v>AJOUT V5</x:v>
      </x:c>
    </x:row>
    <x:row r="151">
      <x:c r="A151" s="10" t="str">
        <x:v>G092</x:v>
      </x:c>
      <x:c r="B151" s="10" t="str">
        <x:v>G092-F01</x:v>
      </x:c>
      <x:c r="C151" s="10" t="str">
        <x:v>↳</x:v>
      </x:c>
      <x:c r="D151" s="10" t="str">
        <x:v>FILIALE / MARQUE / ENTITÉ</x:v>
      </x:c>
      <x:c r="E151" s="10" t="str">
        <x:v>BG Freight</x:v>
      </x:c>
      <x:c r="F151" s="10" t="str">
        <x:v>Peel Ports</x:v>
      </x:c>
      <x:c r="G151" s="10" t="str">
        <x:v>Filiale / marque consolidée</x:v>
      </x:c>
      <x:c r="H151" s="10" t="str">
        <x:v>Consolidée dans le groupe</x:v>
      </x:c>
      <x:c r="I151" s="10" t="str">
        <x:v>Europe</x:v>
      </x:c>
      <x:c r="J151" s="10" t="str">
        <x:v>Royaume-Uni</x:v>
      </x:c>
      <x:c r="K151" s="10" t="str">
        <x:v>Ajout V5 - parent Alphaliner</x:v>
      </x:c>
      <x:c r="L151" s="10"/>
      <x:c r="M151" s="10" t="n">
        <x:f>COUNTIF('Navires hiérarchisés V5'!$B$2:$B$229,B151)</x:f>
        <x:v>1</x:v>
      </x:c>
      <x:c r="N151" s="10" t="str">
        <x:f>IF(M151&gt;0,"OUI","NON")</x:f>
        <x:v>OUI</x:v>
      </x:c>
      <x:c r="O151" s="10" t="str">
        <x:v>https://alphaliner.axsmarine.com/PublicTop100//</x:v>
      </x:c>
      <x:c r="P151" s="10" t="str">
        <x:v>A - Filiales consolidées listées publiquement par Alphaliner</x:v>
      </x:c>
      <x:c r="Q151" s="10" t="str">
        <x:v>NON</x:v>
      </x:c>
    </x:row>
    <x:row r="152">
      <x:c r="A152" s="10" t="str">
        <x:v>G093</x:v>
      </x:c>
      <x:c r="B152" s="10" t="str">
        <x:v>G093</x:v>
      </x:c>
      <x:c r="C152" s="10" t="str">
        <x:v>🏢</x:v>
      </x:c>
      <x:c r="D152" s="10" t="str">
        <x:v>MAISON MÈRE / GROUPE</x:v>
      </x:c>
      <x:c r="E152" s="10" t="str">
        <x:v>GS Lines</x:v>
      </x:c>
      <x:c r="F152" s="10" t="str">
        <x:v>GS Lines</x:v>
      </x:c>
      <x:c r="G152" s="10" t="str"/>
      <x:c r="H152" s="10" t="str">
        <x:v>Groupe de rattachement</x:v>
      </x:c>
      <x:c r="I152" s="10" t="str">
        <x:v>À qualifier</x:v>
      </x:c>
      <x:c r="J152" s="10" t="str"/>
      <x:c r="K152" s="10" t="str">
        <x:v>Ajout V5 - parent Alphaliner</x:v>
      </x:c>
      <x:c r="L152" s="10" t="n">
        <x:v>1</x:v>
      </x:c>
      <x:c r="M152" s="10" t="n">
        <x:f>COUNTIF('Navires hiérarchisés V5'!$A$2:$A$229,A152)</x:f>
        <x:v>0</x:v>
      </x:c>
      <x:c r="N152" s="10" t="str">
        <x:f>IF(M152&gt;0,"OUI","NON")</x:f>
        <x:v>NON</x:v>
      </x:c>
      <x:c r="O152" s="10" t="str">
        <x:v>https://alphaliner.axsmarine.com/PublicTop100//</x:v>
      </x:c>
      <x:c r="P152" s="10" t="str">
        <x:v>A - Filiales consolidées listées publiquement par Alphaliner</x:v>
      </x:c>
      <x:c r="Q152" s="10" t="str">
        <x:v>AJOUT V5</x:v>
      </x:c>
    </x:row>
    <x:row r="153">
      <x:c r="A153" s="10" t="str">
        <x:v>G093</x:v>
      </x:c>
      <x:c r="B153" s="10" t="str">
        <x:v>G093-F01</x:v>
      </x:c>
      <x:c r="C153" s="10" t="str">
        <x:v>↳</x:v>
      </x:c>
      <x:c r="D153" s="10" t="str">
        <x:v>FILIALE / MARQUE / ENTITÉ</x:v>
      </x:c>
      <x:c r="E153" s="10" t="str">
        <x:v>Portusline Containers International (PCI)</x:v>
      </x:c>
      <x:c r="F153" s="10" t="str">
        <x:v>GS Lines</x:v>
      </x:c>
      <x:c r="G153" s="10" t="str">
        <x:v>Filiale / marque consolidée</x:v>
      </x:c>
      <x:c r="H153" s="10" t="str">
        <x:v>Consolidée dans le groupe</x:v>
      </x:c>
      <x:c r="I153" s="10" t="str">
        <x:v>À qualifier</x:v>
      </x:c>
      <x:c r="J153" s="10" t="str"/>
      <x:c r="K153" s="10" t="str">
        <x:v>Ajout V5 - parent Alphaliner</x:v>
      </x:c>
      <x:c r="L153" s="10"/>
      <x:c r="M153" s="10" t="n">
        <x:f>COUNTIF('Navires hiérarchisés V5'!$B$2:$B$229,B153)</x:f>
        <x:v>0</x:v>
      </x:c>
      <x:c r="N153" s="10" t="str">
        <x:f>IF(M153&gt;0,"OUI","NON")</x:f>
        <x:v>NON</x:v>
      </x:c>
      <x:c r="O153" s="10" t="str">
        <x:v>https://alphaliner.axsmarine.com/PublicTop100//</x:v>
      </x:c>
      <x:c r="P153" s="10" t="str">
        <x:v>A - Filiales consolidées listées publiquement par Alphaliner</x:v>
      </x:c>
      <x:c r="Q153" s="10" t="str">
        <x:v>NON</x:v>
      </x:c>
    </x:row>
  </x:sheetData>
  <x:conditionalFormatting sqref="D2:D153">
    <x:cfRule type="expression" dxfId="14" priority="1">
      <x:formula>D2="MAISON MÈRE / GROUPE"</x:formula>
    </x:cfRule>
  </x:conditionalFormatting>
  <x:conditionalFormatting sqref="C2:C153">
    <x:cfRule type="expression" dxfId="15" priority="2">
      <x:formula>C2="🏢"</x:formula>
    </x:cfRule>
    <x:cfRule type="expression" dxfId="16" priority="3">
      <x:formula>C2="↳"</x:formula>
    </x:cfRule>
  </x:conditionalFormatting>
  <x:conditionalFormatting sqref="N2:N153">
    <x:cfRule type="expression" dxfId="17" priority="4">
      <x:formula>N2="OUI"</x:formula>
    </x:cfRule>
    <x:cfRule type="expression" dxfId="18" priority="5">
      <x:formula>N2="NON"</x:formula>
    </x:cfRule>
  </x:conditionalFormatting>
  <x:conditionalFormatting sqref="A2:Q153">
    <x:cfRule type="expression" dxfId="27" priority="6">
      <x:formula>$D2="MAISON MÈRE / GROUPE"</x:formula>
    </x:cfRule>
  </x:conditionalFormatting>
  <x:pageMargins left="0.7" right="0.7" top="0.75" bottom="0.75" header="0.3" footer="0.3"/>
  <x:tableParts count="1">
    <x:tablePart xmlns:r="http://schemas.openxmlformats.org/officeDocument/2006/relationships" r:id="R18dde93fcd024752"/>
  </x:tableParts>
</x:worksheet>
</file>

<file path=xl/worksheets/sheet8.xml><?xml version="1.0" encoding="utf-8"?>
<x:worksheet xmlns:x="http://schemas.openxmlformats.org/spreadsheetml/2006/main">
  <x:sheetFormatPr defaultRowHeight="15"/>
  <x:cols>
    <x:col min="1" max="1" width="13" hidden="0" customWidth="1"/>
    <x:col min="2" max="2" width="14" hidden="0" customWidth="1"/>
    <x:col min="3" max="3" width="34" hidden="0" customWidth="1"/>
    <x:col min="4" max="4" width="28" hidden="0" customWidth="1"/>
    <x:col min="5" max="5" width="34" hidden="0" customWidth="1"/>
    <x:col min="6" max="6" width="24" hidden="0" customWidth="1"/>
    <x:col min="7" max="7" width="28" hidden="0" customWidth="1"/>
    <x:col min="8" max="8" width="25" hidden="0" customWidth="1"/>
    <x:col min="9" max="9" width="12" hidden="0" customWidth="1"/>
    <x:col min="10" max="10" width="19" hidden="0" customWidth="1"/>
    <x:col min="11" max="11" width="10" hidden="0" customWidth="1"/>
    <x:col min="12" max="12" width="25" hidden="0" customWidth="1"/>
    <x:col min="13" max="13" width="20" hidden="0" customWidth="1"/>
    <x:col min="14" max="14" width="16" hidden="0" customWidth="1"/>
    <x:col min="15" max="15" width="48" hidden="0" customWidth="1"/>
    <x:col min="16" max="16" width="42" hidden="0" customWidth="1"/>
  </x:cols>
  <x:sheetData>
    <x:row r="1">
      <x:c r="A1" s="44" t="str">
        <x:v>Groupe_ID</x:v>
      </x:c>
      <x:c r="B1" s="44" t="str">
        <x:v>Entité_ID</x:v>
      </x:c>
      <x:c r="C1" s="44" t="str">
        <x:v>Maison mère / groupe</x:v>
      </x:c>
      <x:c r="D1" s="44" t="str">
        <x:v>Entité opérationnelle</x:v>
      </x:c>
      <x:c r="E1" s="44" t="str">
        <x:v>Règle de rattachement</x:v>
      </x:c>
      <x:c r="F1" s="44" t="str">
        <x:v>Groupe source navires</x:v>
      </x:c>
      <x:c r="G1" s="44" t="str">
        <x:v>Compagnie / marque / service</x:v>
      </x:c>
      <x:c r="H1" s="44" t="str">
        <x:v>Navire</x:v>
      </x:c>
      <x:c r="I1" s="44" t="str">
        <x:v>IMO</x:v>
      </x:c>
      <x:c r="J1" s="44" t="str">
        <x:v>Date d'escale / preuve</x:v>
      </x:c>
      <x:c r="K1" s="44" t="str">
        <x:v>Année</x:v>
      </x:c>
      <x:c r="L1" s="44" t="str">
        <x:v>Service / rotation</x:v>
      </x:c>
      <x:c r="M1" s="44" t="str">
        <x:v>Terminal / zone</x:v>
      </x:c>
      <x:c r="N1" s="44" t="str">
        <x:v>Niveau de preuve</x:v>
      </x:c>
      <x:c r="O1" s="44" t="str">
        <x:v>Source URL</x:v>
      </x:c>
      <x:c r="P1" s="44" t="str">
        <x:v>Notes</x:v>
      </x:c>
    </x:row>
    <x:row r="2">
      <x:c r="A2" s="10" t="str">
        <x:v>G003</x:v>
      </x:c>
      <x:c r="B2" s="10" t="str">
        <x:v>G003-F02</x:v>
      </x:c>
      <x:c r="C2" s="10" t="str">
        <x:v>CMA CGM Group</x:v>
      </x:c>
      <x:c r="D2" s="10" t="str">
        <x:v>APL</x:v>
      </x:c>
      <x:c r="E2" s="10" t="str">
        <x:v>Rattaché à l'entité opérationnelle</x:v>
      </x:c>
      <x:c r="F2" s="10" t="str">
        <x:v>CMA CGM Group</x:v>
      </x:c>
      <x:c r="G2" s="10" t="str">
        <x:v>APL</x:v>
      </x:c>
      <x:c r="H2" s="10" t="str">
        <x:v>APL BOSTON</x:v>
      </x:c>
      <x:c r="I2" s="10"/>
      <x:c r="J2" s="10" t="str">
        <x:v>2023-09-26</x:v>
      </x:c>
      <x:c r="K2" s="10" t="n">
        <x:v>2023</x:v>
      </x:c>
      <x:c r="L2" s="10" t="str">
        <x:v>NEWMO</x:v>
      </x:c>
      <x:c r="M2" s="10" t="str">
        <x:v>Le Havre</x:v>
      </x:c>
      <x:c r="N2" s="10" t="str">
        <x:v>B1</x:v>
      </x:c>
      <x:c r="O2" s="10" t="str">
        <x:v>https://www.cma-cgm.com/ebusiness/schedules/voyage/detail?voyageReference=0NNGXE1MA</x:v>
      </x:c>
      <x:c r="P2" s="10" t="str">
        <x:v>Voyage historique CMA CGM/APL.</x:v>
      </x:c>
    </x:row>
    <x:row r="3">
      <x:c r="A3" s="10" t="str">
        <x:v>G003</x:v>
      </x:c>
      <x:c r="B3" s="10" t="str">
        <x:v>G003-F02</x:v>
      </x:c>
      <x:c r="C3" s="10" t="str">
        <x:v>CMA CGM Group</x:v>
      </x:c>
      <x:c r="D3" s="10" t="str">
        <x:v>APL</x:v>
      </x:c>
      <x:c r="E3" s="10" t="str">
        <x:v>Rattaché à l'entité opérationnelle</x:v>
      </x:c>
      <x:c r="F3" s="10" t="str">
        <x:v>CMA CGM Group</x:v>
      </x:c>
      <x:c r="G3" s="10" t="str">
        <x:v>APL</x:v>
      </x:c>
      <x:c r="H3" s="10" t="str">
        <x:v>APL CHANGI</x:v>
      </x:c>
      <x:c r="I3" s="10"/>
      <x:c r="J3" s="10" t="str">
        <x:v>2024-03-05</x:v>
      </x:c>
      <x:c r="K3" s="10" t="n">
        <x:v>2024</x:v>
      </x:c>
      <x:c r="L3" s="10" t="str">
        <x:v>FAL1</x:v>
      </x:c>
      <x:c r="M3" s="10" t="str">
        <x:v>Terminal de France</x:v>
      </x:c>
      <x:c r="N3" s="10" t="str">
        <x:v>B1</x:v>
      </x:c>
      <x:c r="O3" s="10" t="str">
        <x:v>https://www.cma-cgm.com/ebusiness/schedules/voyage/detail?voyageReference=0FLGSE1MA</x:v>
      </x:c>
      <x:c r="P3" s="10" t="str">
        <x:v>Voyage historique CMA CGM/APL.</x:v>
      </x:c>
    </x:row>
    <x:row r="4">
      <x:c r="A4" s="10" t="str">
        <x:v>G003</x:v>
      </x:c>
      <x:c r="B4" s="10" t="str">
        <x:v>G003-F02</x:v>
      </x:c>
      <x:c r="C4" s="10" t="str">
        <x:v>CMA CGM Group</x:v>
      </x:c>
      <x:c r="D4" s="10" t="str">
        <x:v>APL</x:v>
      </x:c>
      <x:c r="E4" s="10" t="str">
        <x:v>Rattaché à l'entité opérationnelle</x:v>
      </x:c>
      <x:c r="F4" s="10" t="str">
        <x:v>CMA CGM Group</x:v>
      </x:c>
      <x:c r="G4" s="10" t="str">
        <x:v>APL</x:v>
      </x:c>
      <x:c r="H4" s="10" t="str">
        <x:v>APL FULLERTON</x:v>
      </x:c>
      <x:c r="I4" s="10"/>
      <x:c r="J4" s="10" t="str">
        <x:v>2024-01-25</x:v>
      </x:c>
      <x:c r="K4" s="10" t="n">
        <x:v>2024</x:v>
      </x:c>
      <x:c r="L4" s="10" t="str">
        <x:v>FAL1</x:v>
      </x:c>
      <x:c r="M4" s="10" t="str">
        <x:v>Terminal de France</x:v>
      </x:c>
      <x:c r="N4" s="10" t="str">
        <x:v>B1</x:v>
      </x:c>
      <x:c r="O4" s="10" t="str">
        <x:v>https://www.cma-cgm.com/ebusiness/schedules/voyage/detail?voyageReference=0FLGKE1MA</x:v>
      </x:c>
      <x:c r="P4" s="10" t="str">
        <x:v>Voyage historique CMA CGM/APL.</x:v>
      </x:c>
    </x:row>
    <x:row r="5">
      <x:c r="A5" s="10" t="str">
        <x:v>G003</x:v>
      </x:c>
      <x:c r="B5" s="10" t="str">
        <x:v>G003-F02</x:v>
      </x:c>
      <x:c r="C5" s="10" t="str">
        <x:v>CMA CGM Group</x:v>
      </x:c>
      <x:c r="D5" s="10" t="str">
        <x:v>APL</x:v>
      </x:c>
      <x:c r="E5" s="10" t="str">
        <x:v>Rattaché à l'entité opérationnelle</x:v>
      </x:c>
      <x:c r="F5" s="10" t="str">
        <x:v>CMA CGM Group</x:v>
      </x:c>
      <x:c r="G5" s="10" t="str">
        <x:v>APL</x:v>
      </x:c>
      <x:c r="H5" s="10" t="str">
        <x:v>APL LE HAVRE</x:v>
      </x:c>
      <x:c r="I5" s="10" t="str">
        <x:v>9461881</x:v>
      </x:c>
      <x:c r="J5" s="10" t="str">
        <x:v>2025-06-11</x:v>
      </x:c>
      <x:c r="K5" s="10" t="n">
        <x:v>2025</x:v>
      </x:c>
      <x:c r="L5" s="10" t="str">
        <x:v>Liberty / transatlantique</x:v>
      </x:c>
      <x:c r="M5" s="10" t="str">
        <x:v>Le Havre</x:v>
      </x:c>
      <x:c r="N5" s="10" t="str">
        <x:v>C</x:v>
      </x:c>
      <x:c r="O5" s="10" t="str">
        <x:v>https://www.marine-marchande.net/Jourlejour4/AujourleJour-550.html</x:v>
      </x:c>
      <x:c r="P5" s="10" t="str">
        <x:v>Observation portuaire datée.</x:v>
      </x:c>
    </x:row>
    <x:row r="6">
      <x:c r="A6" s="10" t="str">
        <x:v>G003</x:v>
      </x:c>
      <x:c r="B6" s="10" t="str">
        <x:v>G003-F02</x:v>
      </x:c>
      <x:c r="C6" s="10" t="str">
        <x:v>CMA CGM Group</x:v>
      </x:c>
      <x:c r="D6" s="10" t="str">
        <x:v>APL</x:v>
      </x:c>
      <x:c r="E6" s="10" t="str">
        <x:v>Rattaché à l'entité opérationnelle</x:v>
      </x:c>
      <x:c r="F6" s="10" t="str">
        <x:v>CMA CGM Group</x:v>
      </x:c>
      <x:c r="G6" s="10" t="str">
        <x:v>APL</x:v>
      </x:c>
      <x:c r="H6" s="10" t="str">
        <x:v>APL LION CITY</x:v>
      </x:c>
      <x:c r="I6" s="10"/>
      <x:c r="J6" s="10" t="str">
        <x:v>2024-06-04</x:v>
      </x:c>
      <x:c r="K6" s="10" t="n">
        <x:v>2024</x:v>
      </x:c>
      <x:c r="L6" s="10" t="str">
        <x:v>FAL3</x:v>
      </x:c>
      <x:c r="M6" s="10" t="str">
        <x:v>Terminal de France</x:v>
      </x:c>
      <x:c r="N6" s="10" t="str">
        <x:v>B1</x:v>
      </x:c>
      <x:c r="O6" s="10" t="str">
        <x:v>https://www.cma-cgm.com/ebusiness/schedules/voyage/detail?voyageReference=0FMFGE1MA</x:v>
      </x:c>
      <x:c r="P6" s="10" t="str">
        <x:v>Voyage officiel : arrivée au Havre le 04/06/2024.</x:v>
      </x:c>
    </x:row>
    <x:row r="7">
      <x:c r="A7" s="10" t="str">
        <x:v>G003</x:v>
      </x:c>
      <x:c r="B7" s="10" t="str">
        <x:v>G003-F02</x:v>
      </x:c>
      <x:c r="C7" s="10" t="str">
        <x:v>CMA CGM Group</x:v>
      </x:c>
      <x:c r="D7" s="10" t="str">
        <x:v>APL</x:v>
      </x:c>
      <x:c r="E7" s="10" t="str">
        <x:v>Rattaché à l'entité opérationnelle</x:v>
      </x:c>
      <x:c r="F7" s="10" t="str">
        <x:v>CMA CGM Group</x:v>
      </x:c>
      <x:c r="G7" s="10" t="str">
        <x:v>APL</x:v>
      </x:c>
      <x:c r="H7" s="10" t="str">
        <x:v>APL MERLION</x:v>
      </x:c>
      <x:c r="I7" s="10"/>
      <x:c r="J7" s="10" t="str">
        <x:v>2024-03-16</x:v>
      </x:c>
      <x:c r="K7" s="10" t="n">
        <x:v>2024</x:v>
      </x:c>
      <x:c r="L7" s="10" t="str">
        <x:v>FAL1</x:v>
      </x:c>
      <x:c r="M7" s="10" t="str">
        <x:v>Terminal de France</x:v>
      </x:c>
      <x:c r="N7" s="10" t="str">
        <x:v>B1</x:v>
      </x:c>
      <x:c r="O7" s="10" t="str">
        <x:v>https://www.cma-cgm.com/ebusiness/schedules/voyage/detail?voyageReference=0FLH6E1MA</x:v>
      </x:c>
      <x:c r="P7" s="10" t="str">
        <x:v>Voyage historique CMA CGM/APL.</x:v>
      </x:c>
    </x:row>
    <x:row r="8">
      <x:c r="A8" s="10" t="str">
        <x:v>G003</x:v>
      </x:c>
      <x:c r="B8" s="10" t="str">
        <x:v>G003-F02</x:v>
      </x:c>
      <x:c r="C8" s="10" t="str">
        <x:v>CMA CGM Group</x:v>
      </x:c>
      <x:c r="D8" s="10" t="str">
        <x:v>APL</x:v>
      </x:c>
      <x:c r="E8" s="10" t="str">
        <x:v>Rattaché à l'entité opérationnelle</x:v>
      </x:c>
      <x:c r="F8" s="10" t="str">
        <x:v>CMA CGM Group</x:v>
      </x:c>
      <x:c r="G8" s="10" t="str">
        <x:v>APL</x:v>
      </x:c>
      <x:c r="H8" s="10" t="str">
        <x:v>APL NEW YORK</x:v>
      </x:c>
      <x:c r="I8" s="10"/>
      <x:c r="J8" s="10" t="str">
        <x:v>2024-02-27</x:v>
      </x:c>
      <x:c r="K8" s="10" t="n">
        <x:v>2024</x:v>
      </x:c>
      <x:c r="L8" s="10" t="str">
        <x:v>Service APL/CMA CGM</x:v>
      </x:c>
      <x:c r="M8" s="10" t="str">
        <x:v>Port 2000</x:v>
      </x:c>
      <x:c r="N8" s="10" t="str">
        <x:v>C</x:v>
      </x:c>
      <x:c r="O8" s="10" t="str">
        <x:v>https://www.marine-marchande.net/Jourlejour4/AujourleJour-534.html</x:v>
      </x:c>
      <x:c r="P8" s="10" t="str">
        <x:v>Arrivée d'Anvers documentée.</x:v>
      </x:c>
    </x:row>
    <x:row r="9">
      <x:c r="A9" s="10" t="str">
        <x:v>G003</x:v>
      </x:c>
      <x:c r="B9" s="10" t="str">
        <x:v>G003-F02</x:v>
      </x:c>
      <x:c r="C9" s="10" t="str">
        <x:v>CMA CGM Group</x:v>
      </x:c>
      <x:c r="D9" s="10" t="str">
        <x:v>APL</x:v>
      </x:c>
      <x:c r="E9" s="10" t="str">
        <x:v>Rattaché à l'entité opérationnelle</x:v>
      </x:c>
      <x:c r="F9" s="10" t="str">
        <x:v>CMA CGM Group</x:v>
      </x:c>
      <x:c r="G9" s="10" t="str">
        <x:v>APL</x:v>
      </x:c>
      <x:c r="H9" s="10" t="str">
        <x:v>APL RAFFLES</x:v>
      </x:c>
      <x:c r="I9" s="10"/>
      <x:c r="J9" s="10" t="str">
        <x:v>2024-03-07</x:v>
      </x:c>
      <x:c r="K9" s="10" t="n">
        <x:v>2024</x:v>
      </x:c>
      <x:c r="L9" s="10" t="str">
        <x:v>FAL1</x:v>
      </x:c>
      <x:c r="M9" s="10" t="str">
        <x:v>Terminal de France</x:v>
      </x:c>
      <x:c r="N9" s="10" t="str">
        <x:v>B1</x:v>
      </x:c>
      <x:c r="O9" s="10" t="str">
        <x:v>https://www.cma-cgm.com/ebusiness/schedules/voyage/detail?voyageReference=0FLGUE1MA</x:v>
      </x:c>
      <x:c r="P9" s="10" t="str">
        <x:v>Voyage historique CMA CGM/APL.</x:v>
      </x:c>
    </x:row>
    <x:row r="10">
      <x:c r="A10" s="10" t="str">
        <x:v>G003</x:v>
      </x:c>
      <x:c r="B10" s="10" t="str">
        <x:v>G003-F02</x:v>
      </x:c>
      <x:c r="C10" s="10" t="str">
        <x:v>CMA CGM Group</x:v>
      </x:c>
      <x:c r="D10" s="10" t="str">
        <x:v>APL</x:v>
      </x:c>
      <x:c r="E10" s="10" t="str">
        <x:v>Rattaché à l'entité opérationnelle</x:v>
      </x:c>
      <x:c r="F10" s="10" t="str">
        <x:v>CMA CGM Group</x:v>
      </x:c>
      <x:c r="G10" s="10" t="str">
        <x:v>APL</x:v>
      </x:c>
      <x:c r="H10" s="10" t="str">
        <x:v>APL SALALAH</x:v>
      </x:c>
      <x:c r="I10" s="10"/>
      <x:c r="J10" s="10" t="str">
        <x:v>2025-02-01</x:v>
      </x:c>
      <x:c r="K10" s="10" t="n">
        <x:v>2025</x:v>
      </x:c>
      <x:c r="L10" s="10" t="str">
        <x:v>EPIC</x:v>
      </x:c>
      <x:c r="M10" s="10" t="str">
        <x:v>Terminal de France</x:v>
      </x:c>
      <x:c r="N10" s="10" t="str">
        <x:v>B1</x:v>
      </x:c>
      <x:c r="O10" s="10" t="str">
        <x:v>https://www.cma-cgm.com/ebusiness/schedules/voyage/detail?voyageReference=0PEAYE1MA</x:v>
      </x:c>
      <x:c r="P10" s="10" t="str">
        <x:v>Voyage historique CMA CGM/APL.</x:v>
      </x:c>
    </x:row>
    <x:row r="11">
      <x:c r="A11" s="10" t="str">
        <x:v>G003</x:v>
      </x:c>
      <x:c r="B11" s="10" t="str">
        <x:v>G003-F02</x:v>
      </x:c>
      <x:c r="C11" s="10" t="str">
        <x:v>CMA CGM Group</x:v>
      </x:c>
      <x:c r="D11" s="10" t="str">
        <x:v>APL</x:v>
      </x:c>
      <x:c r="E11" s="10" t="str">
        <x:v>Rattaché à l'entité opérationnelle</x:v>
      </x:c>
      <x:c r="F11" s="10" t="str">
        <x:v>CMA CGM Group</x:v>
      </x:c>
      <x:c r="G11" s="10" t="str">
        <x:v>APL</x:v>
      </x:c>
      <x:c r="H11" s="10" t="str">
        <x:v>APL SAVANNAH</x:v>
      </x:c>
      <x:c r="I11" s="10"/>
      <x:c r="J11" s="10" t="str">
        <x:v>2024-08-07</x:v>
      </x:c>
      <x:c r="K11" s="10" t="n">
        <x:v>2024</x:v>
      </x:c>
      <x:c r="L11" s="10" t="str">
        <x:v>NEWMO</x:v>
      </x:c>
      <x:c r="M11" s="10" t="str">
        <x:v>Le Havre</x:v>
      </x:c>
      <x:c r="N11" s="10" t="str">
        <x:v>B1</x:v>
      </x:c>
      <x:c r="O11" s="10" t="str">
        <x:v>https://www.cma-cgm.com/ebusiness/schedules/voyage/detail?voyageReference=0NNJ5E1MA</x:v>
      </x:c>
      <x:c r="P11" s="10" t="str">
        <x:v>Voyage historique CMA CGM/APL.</x:v>
      </x:c>
    </x:row>
    <x:row r="12">
      <x:c r="A12" s="10" t="str">
        <x:v>G003</x:v>
      </x:c>
      <x:c r="B12" s="10" t="str">
        <x:v>G003-F02</x:v>
      </x:c>
      <x:c r="C12" s="10" t="str">
        <x:v>CMA CGM Group</x:v>
      </x:c>
      <x:c r="D12" s="10" t="str">
        <x:v>APL</x:v>
      </x:c>
      <x:c r="E12" s="10" t="str">
        <x:v>Rattaché à l'entité opérationnelle</x:v>
      </x:c>
      <x:c r="F12" s="10" t="str">
        <x:v>CMA CGM Group</x:v>
      </x:c>
      <x:c r="G12" s="10" t="str">
        <x:v>APL</x:v>
      </x:c>
      <x:c r="H12" s="10" t="str">
        <x:v>APL VANDA</x:v>
      </x:c>
      <x:c r="I12" s="10"/>
      <x:c r="J12" s="10" t="str">
        <x:v>2025-10-06</x:v>
      </x:c>
      <x:c r="K12" s="10" t="n">
        <x:v>2025</x:v>
      </x:c>
      <x:c r="L12" s="10" t="str">
        <x:v>FAL</x:v>
      </x:c>
      <x:c r="M12" s="10" t="str">
        <x:v>Terminal de France</x:v>
      </x:c>
      <x:c r="N12" s="10" t="str">
        <x:v>B1</x:v>
      </x:c>
      <x:c r="O12" s="10" t="str">
        <x:v>https://www.cma-cgm.com/ebusiness/schedules/voyage/detail?voyageReference=1FL21E1MA</x:v>
      </x:c>
      <x:c r="P12" s="10" t="str">
        <x:v>Voyage historique CMA CGM/APL.</x:v>
      </x:c>
    </x:row>
    <x:row r="13">
      <x:c r="A13" s="10" t="str">
        <x:v>G003</x:v>
      </x:c>
      <x:c r="B13" s="10" t="str">
        <x:v>G003-F03</x:v>
      </x:c>
      <x:c r="C13" s="10" t="str">
        <x:v>CMA CGM Group</x:v>
      </x:c>
      <x:c r="D13" s="10" t="str">
        <x:v>CMA CGM</x:v>
      </x:c>
      <x:c r="E13" s="10" t="str">
        <x:v>Rattaché à l'entité opérationnelle</x:v>
      </x:c>
      <x:c r="F13" s="10" t="str">
        <x:v>CMA CGM Group</x:v>
      </x:c>
      <x:c r="G13" s="10" t="str">
        <x:v>CMA CGM</x:v>
      </x:c>
      <x:c r="H13" s="10" t="str">
        <x:v>CMA CGM ABU DHABI</x:v>
      </x:c>
      <x:c r="I13" s="10"/>
      <x:c r="J13" s="10" t="str">
        <x:v>2023-09-02</x:v>
      </x:c>
      <x:c r="K13" s="10" t="n">
        <x:v>2023</x:v>
      </x:c>
      <x:c r="L13" s="10" t="str">
        <x:v>Panama Direct</x:v>
      </x:c>
      <x:c r="M13" s="10" t="str">
        <x:v>Le Havre</x:v>
      </x:c>
      <x:c r="N13" s="10" t="str">
        <x:v>B1</x:v>
      </x:c>
      <x:c r="O13" s="10" t="str">
        <x:v>https://www.cma-cgm.com/ebusiness/schedules/voyage/detail?voyageReference=0PGFCE1MA</x:v>
      </x:c>
      <x:c r="P13" s="10" t="str">
        <x:v>Voyage historique CMA CGM.</x:v>
      </x:c>
    </x:row>
    <x:row r="14">
      <x:c r="A14" s="10" t="str">
        <x:v>G003</x:v>
      </x:c>
      <x:c r="B14" s="10" t="str">
        <x:v>G003-F03</x:v>
      </x:c>
      <x:c r="C14" s="10" t="str">
        <x:v>CMA CGM Group</x:v>
      </x:c>
      <x:c r="D14" s="10" t="str">
        <x:v>CMA CGM</x:v>
      </x:c>
      <x:c r="E14" s="10" t="str">
        <x:v>Rattaché à l'entité opérationnelle</x:v>
      </x:c>
      <x:c r="F14" s="10" t="str">
        <x:v>CMA CGM Group</x:v>
      </x:c>
      <x:c r="G14" s="10" t="str">
        <x:v>CMA CGM</x:v>
      </x:c>
      <x:c r="H14" s="10" t="str">
        <x:v>CMA CGM ALCAZAR</x:v>
      </x:c>
      <x:c r="I14" s="10"/>
      <x:c r="J14" s="10" t="str">
        <x:v>2024-02-27</x:v>
      </x:c>
      <x:c r="K14" s="10" t="n">
        <x:v>2024</x:v>
      </x:c>
      <x:c r="L14" s="10" t="str">
        <x:v>Service CMA CGM</x:v>
      </x:c>
      <x:c r="M14" s="10" t="str">
        <x:v>Quai d'Amérique</x:v>
      </x:c>
      <x:c r="N14" s="10" t="str">
        <x:v>C</x:v>
      </x:c>
      <x:c r="O14" s="10" t="str">
        <x:v>https://www.marine-marchande.net/Jourlejour4/AujourleJour-534.html</x:v>
      </x:c>
      <x:c r="P14" s="10" t="str">
        <x:v>Arrivée d'Anvers documentée.</x:v>
      </x:c>
    </x:row>
    <x:row r="15">
      <x:c r="A15" s="10" t="str">
        <x:v>G003</x:v>
      </x:c>
      <x:c r="B15" s="10" t="str">
        <x:v>G003-F03</x:v>
      </x:c>
      <x:c r="C15" s="10" t="str">
        <x:v>CMA CGM Group</x:v>
      </x:c>
      <x:c r="D15" s="10" t="str">
        <x:v>CMA CGM</x:v>
      </x:c>
      <x:c r="E15" s="10" t="str">
        <x:v>Rattaché à l'entité opérationnelle</x:v>
      </x:c>
      <x:c r="F15" s="10" t="str">
        <x:v>CMA CGM Group</x:v>
      </x:c>
      <x:c r="G15" s="10" t="str">
        <x:v>CMA CGM</x:v>
      </x:c>
      <x:c r="H15" s="10" t="str">
        <x:v>CMA CGM ALEXANDER VON HUMBOLDT</x:v>
      </x:c>
      <x:c r="I15" s="10"/>
      <x:c r="J15" s="10" t="str">
        <x:v>2024-06-03</x:v>
      </x:c>
      <x:c r="K15" s="10" t="n">
        <x:v>2024</x:v>
      </x:c>
      <x:c r="L15" s="10" t="str">
        <x:v>Asie-Europe</x:v>
      </x:c>
      <x:c r="M15" s="10" t="str">
        <x:v>Le Havre</x:v>
      </x:c>
      <x:c r="N15" s="10" t="str">
        <x:v>C</x:v>
      </x:c>
      <x:c r="O15" s="10" t="str">
        <x:v>https://www.marine-marchande.net/Jourlejour4/AujourleJour-537.html</x:v>
      </x:c>
      <x:c r="P15" s="10" t="str">
        <x:v>Observation portuaire datée.</x:v>
      </x:c>
    </x:row>
    <x:row r="16">
      <x:c r="A16" s="10" t="str">
        <x:v>G003</x:v>
      </x:c>
      <x:c r="B16" s="10" t="str">
        <x:v>G003-F03</x:v>
      </x:c>
      <x:c r="C16" s="10" t="str">
        <x:v>CMA CGM Group</x:v>
      </x:c>
      <x:c r="D16" s="10" t="str">
        <x:v>CMA CGM</x:v>
      </x:c>
      <x:c r="E16" s="10" t="str">
        <x:v>Rattaché à l'entité opérationnelle</x:v>
      </x:c>
      <x:c r="F16" s="10" t="str">
        <x:v>CMA CGM Group</x:v>
      </x:c>
      <x:c r="G16" s="10" t="str">
        <x:v>CMA CGM</x:v>
      </x:c>
      <x:c r="H16" s="10" t="str">
        <x:v>CMA CGM AMERICA</x:v>
      </x:c>
      <x:c r="I16" s="10"/>
      <x:c r="J16" s="10" t="str">
        <x:v>2023-08-11</x:v>
      </x:c>
      <x:c r="K16" s="10" t="n">
        <x:v>2023</x:v>
      </x:c>
      <x:c r="L16" s="10" t="str">
        <x:v>Transatlantique / service CMA CGM</x:v>
      </x:c>
      <x:c r="M16" s="10" t="str">
        <x:v>Le Havre</x:v>
      </x:c>
      <x:c r="N16" s="10" t="str">
        <x:v>C</x:v>
      </x:c>
      <x:c r="O16" s="10" t="str">
        <x:v>https://www.marine-marchande.net/Jourlejour4/AujourleJour-527.html</x:v>
      </x:c>
      <x:c r="P16" s="10" t="str">
        <x:v>Observation portuaire datée.</x:v>
      </x:c>
    </x:row>
    <x:row r="17">
      <x:c r="A17" s="10" t="str">
        <x:v>G003</x:v>
      </x:c>
      <x:c r="B17" s="10" t="str">
        <x:v>G003-F03</x:v>
      </x:c>
      <x:c r="C17" s="10" t="str">
        <x:v>CMA CGM Group</x:v>
      </x:c>
      <x:c r="D17" s="10" t="str">
        <x:v>CMA CGM</x:v>
      </x:c>
      <x:c r="E17" s="10" t="str">
        <x:v>Rattaché à l'entité opérationnelle</x:v>
      </x:c>
      <x:c r="F17" s="10" t="str">
        <x:v>CMA CGM Group</x:v>
      </x:c>
      <x:c r="G17" s="10" t="str">
        <x:v>CMA CGM</x:v>
      </x:c>
      <x:c r="H17" s="10" t="str">
        <x:v>CMA CGM ANTOINE DE SAINT EXUPERY</x:v>
      </x:c>
      <x:c r="I17" s="10"/>
      <x:c r="J17" s="10" t="str">
        <x:v>2024-01-06</x:v>
      </x:c>
      <x:c r="K17" s="10" t="n">
        <x:v>2024</x:v>
      </x:c>
      <x:c r="L17" s="10" t="str">
        <x:v>Asie-Europe</x:v>
      </x:c>
      <x:c r="M17" s="10" t="str">
        <x:v>Port 2000</x:v>
      </x:c>
      <x:c r="N17" s="10" t="str">
        <x:v>C</x:v>
      </x:c>
      <x:c r="O17" s="10" t="str">
        <x:v>https://www.marine-marchande.net/Jourlejour4/AujourleJour-532.html</x:v>
      </x:c>
      <x:c r="P17" s="10" t="str">
        <x:v>Observation portuaire datée.</x:v>
      </x:c>
    </x:row>
    <x:row r="18">
      <x:c r="A18" s="10" t="str">
        <x:v>G003</x:v>
      </x:c>
      <x:c r="B18" s="10" t="str">
        <x:v>G003-F03</x:v>
      </x:c>
      <x:c r="C18" s="10" t="str">
        <x:v>CMA CGM Group</x:v>
      </x:c>
      <x:c r="D18" s="10" t="str">
        <x:v>CMA CGM</x:v>
      </x:c>
      <x:c r="E18" s="10" t="str">
        <x:v>Rattaché à l'entité opérationnelle</x:v>
      </x:c>
      <x:c r="F18" s="10" t="str">
        <x:v>CMA CGM Group</x:v>
      </x:c>
      <x:c r="G18" s="10" t="str">
        <x:v>CMA CGM</x:v>
      </x:c>
      <x:c r="H18" s="10" t="str">
        <x:v>CMA CGM AQUILA</x:v>
      </x:c>
      <x:c r="I18" s="10"/>
      <x:c r="J18" s="10" t="str">
        <x:v>2025-09-01</x:v>
      </x:c>
      <x:c r="K18" s="10" t="n">
        <x:v>2025</x:v>
      </x:c>
      <x:c r="L18" s="10" t="str">
        <x:v>Asie-Europe</x:v>
      </x:c>
      <x:c r="M18" s="10" t="str">
        <x:v>Port 2000</x:v>
      </x:c>
      <x:c r="N18" s="10" t="str">
        <x:v>C</x:v>
      </x:c>
      <x:c r="O18" s="10" t="str">
        <x:v>https://www.marine-marchande.net/Jourlejour4/AujourleJour-552.html</x:v>
      </x:c>
      <x:c r="P18" s="10" t="str">
        <x:v>Observation portuaire datée.</x:v>
      </x:c>
    </x:row>
    <x:row r="19">
      <x:c r="A19" s="10" t="str">
        <x:v>G003</x:v>
      </x:c>
      <x:c r="B19" s="10" t="str">
        <x:v>G003-F03</x:v>
      </x:c>
      <x:c r="C19" s="10" t="str">
        <x:v>CMA CGM Group</x:v>
      </x:c>
      <x:c r="D19" s="10" t="str">
        <x:v>CMA CGM</x:v>
      </x:c>
      <x:c r="E19" s="10" t="str">
        <x:v>Rattaché à l'entité opérationnelle</x:v>
      </x:c>
      <x:c r="F19" s="10" t="str">
        <x:v>CMA CGM Group</x:v>
      </x:c>
      <x:c r="G19" s="10" t="str">
        <x:v>CMA CGM</x:v>
      </x:c>
      <x:c r="H19" s="10" t="str">
        <x:v>CMA CGM ARKANSAS</x:v>
      </x:c>
      <x:c r="I19" s="10"/>
      <x:c r="J19" s="10" t="str">
        <x:v>2023-01-05</x:v>
      </x:c>
      <x:c r="K19" s="10" t="n">
        <x:v>2023</x:v>
      </x:c>
      <x:c r="L19" s="10" t="str">
        <x:v>EUROSAL</x:v>
      </x:c>
      <x:c r="M19" s="10" t="str">
        <x:v>Le Havre</x:v>
      </x:c>
      <x:c r="N19" s="10" t="str">
        <x:v>B1</x:v>
      </x:c>
      <x:c r="O19" s="10" t="str">
        <x:v>https://www.porttechnology.org/cma-cgm-continues-blank-sailings-on-congested-eurosal-service/</x:v>
      </x:c>
      <x:c r="P19" s="10" t="str">
        <x:v>Retour programmé du service à Le Havre ; ETA publiée.</x:v>
      </x:c>
    </x:row>
    <x:row r="20">
      <x:c r="A20" s="10" t="str">
        <x:v>G003</x:v>
      </x:c>
      <x:c r="B20" s="10" t="str">
        <x:v>G003-F03</x:v>
      </x:c>
      <x:c r="C20" s="10" t="str">
        <x:v>CMA CGM Group</x:v>
      </x:c>
      <x:c r="D20" s="10" t="str">
        <x:v>CMA CGM</x:v>
      </x:c>
      <x:c r="E20" s="10" t="str">
        <x:v>Rattaché à l'entité opérationnelle</x:v>
      </x:c>
      <x:c r="F20" s="10" t="str">
        <x:v>CMA CGM Group</x:v>
      </x:c>
      <x:c r="G20" s="10" t="str">
        <x:v>CMA CGM</x:v>
      </x:c>
      <x:c r="H20" s="10" t="str">
        <x:v>CMA CGM BENJAMIN FRANKLIN</x:v>
      </x:c>
      <x:c r="I20" s="10"/>
      <x:c r="J20" s="10" t="str">
        <x:v>2024-04-15</x:v>
      </x:c>
      <x:c r="K20" s="10" t="n">
        <x:v>2024</x:v>
      </x:c>
      <x:c r="L20" s="10" t="str">
        <x:v>Asie-Europe</x:v>
      </x:c>
      <x:c r="M20" s="10" t="str">
        <x:v>Le Havre</x:v>
      </x:c>
      <x:c r="N20" s="10" t="str">
        <x:v>C</x:v>
      </x:c>
      <x:c r="O20" s="10" t="str">
        <x:v>https://www.marine-marchande.net/Jourlejour4/AujourleJour-535.html</x:v>
      </x:c>
      <x:c r="P20" s="10" t="str">
        <x:v>Arrivée directe de Singapour documentée.</x:v>
      </x:c>
    </x:row>
    <x:row r="21">
      <x:c r="A21" s="10" t="str">
        <x:v>G003</x:v>
      </x:c>
      <x:c r="B21" s="10" t="str">
        <x:v>G003-F03</x:v>
      </x:c>
      <x:c r="C21" s="10" t="str">
        <x:v>CMA CGM Group</x:v>
      </x:c>
      <x:c r="D21" s="10" t="str">
        <x:v>CMA CGM</x:v>
      </x:c>
      <x:c r="E21" s="10" t="str">
        <x:v>Rattaché à l'entité opérationnelle</x:v>
      </x:c>
      <x:c r="F21" s="10" t="str">
        <x:v>CMA CGM Group</x:v>
      </x:c>
      <x:c r="G21" s="10" t="str">
        <x:v>CMA CGM</x:v>
      </x:c>
      <x:c r="H21" s="10" t="str">
        <x:v>CMA CGM BLUE</x:v>
      </x:c>
      <x:c r="I21" s="10"/>
      <x:c r="J21" s="10" t="str">
        <x:v>2026-06-02</x:v>
      </x:c>
      <x:c r="K21" s="10" t="n">
        <x:v>2026</x:v>
      </x:c>
      <x:c r="L21" s="10" t="str">
        <x:v>Service CMA CGM</x:v>
      </x:c>
      <x:c r="M21" s="10" t="str">
        <x:v>Port 2000</x:v>
      </x:c>
      <x:c r="N21" s="10" t="str">
        <x:v>C</x:v>
      </x:c>
      <x:c r="O21" s="10" t="str">
        <x:v>https://www.marine-marchande.net/Jourlejour4/AujourleJour-561.html</x:v>
      </x:c>
      <x:c r="P21" s="10" t="str">
        <x:v>Observation portuaire datée.</x:v>
      </x:c>
    </x:row>
    <x:row r="22">
      <x:c r="A22" s="10" t="str">
        <x:v>G003</x:v>
      </x:c>
      <x:c r="B22" s="10" t="str">
        <x:v>G003-F03</x:v>
      </x:c>
      <x:c r="C22" s="10" t="str">
        <x:v>CMA CGM Group</x:v>
      </x:c>
      <x:c r="D22" s="10" t="str">
        <x:v>CMA CGM</x:v>
      </x:c>
      <x:c r="E22" s="10" t="str">
        <x:v>Rattaché à l'entité opérationnelle</x:v>
      </x:c>
      <x:c r="F22" s="10" t="str">
        <x:v>CMA CGM Group</x:v>
      </x:c>
      <x:c r="G22" s="10" t="str">
        <x:v>CMA CGM</x:v>
      </x:c>
      <x:c r="H22" s="10" t="str">
        <x:v>CMA CGM BLUE WHALE</x:v>
      </x:c>
      <x:c r="I22" s="10"/>
      <x:c r="J22" s="10" t="str">
        <x:v>2025-02</x:v>
      </x:c>
      <x:c r="K22" s="10" t="n">
        <x:v>2025</x:v>
      </x:c>
      <x:c r="L22" s="10" t="str">
        <x:v>Asie-Europe</x:v>
      </x:c>
      <x:c r="M22" s="10" t="str">
        <x:v>Le Havre</x:v>
      </x:c>
      <x:c r="N22" s="10" t="str">
        <x:v>C</x:v>
      </x:c>
      <x:c r="O22" s="10" t="str">
        <x:v>https://www.marine-marchande.net/Jourlejour4/AujourleJour-546.html</x:v>
      </x:c>
      <x:c r="P22" s="10" t="str">
        <x:v>Arrivée directe de Singapour documentée.</x:v>
      </x:c>
    </x:row>
    <x:row r="23">
      <x:c r="A23" s="10" t="str">
        <x:v>G003</x:v>
      </x:c>
      <x:c r="B23" s="10" t="str">
        <x:v>G003-F03</x:v>
      </x:c>
      <x:c r="C23" s="10" t="str">
        <x:v>CMA CGM Group</x:v>
      </x:c>
      <x:c r="D23" s="10" t="str">
        <x:v>CMA CGM</x:v>
      </x:c>
      <x:c r="E23" s="10" t="str">
        <x:v>Rattaché à l'entité opérationnelle</x:v>
      </x:c>
      <x:c r="F23" s="10" t="str">
        <x:v>CMA CGM Group</x:v>
      </x:c>
      <x:c r="G23" s="10" t="str">
        <x:v>CMA CGM</x:v>
      </x:c>
      <x:c r="H23" s="10" t="str">
        <x:v>CMA CGM CHOPIN</x:v>
      </x:c>
      <x:c r="I23" s="10"/>
      <x:c r="J23" s="10" t="str">
        <x:v>2024-09</x:v>
      </x:c>
      <x:c r="K23" s="10" t="n">
        <x:v>2024</x:v>
      </x:c>
      <x:c r="L23" s="10" t="str">
        <x:v>Asie-Europe</x:v>
      </x:c>
      <x:c r="M23" s="10" t="str">
        <x:v>Le Havre</x:v>
      </x:c>
      <x:c r="N23" s="10" t="str">
        <x:v>C</x:v>
      </x:c>
      <x:c r="O23" s="10" t="str">
        <x:v>https://www.marine-marchande.net/Jourlejour4/AujourleJour-540.html</x:v>
      </x:c>
      <x:c r="P23" s="10" t="str">
        <x:v>Présence au Havre documentée en septembre 2024.</x:v>
      </x:c>
    </x:row>
    <x:row r="24">
      <x:c r="A24" s="10" t="str">
        <x:v>G003</x:v>
      </x:c>
      <x:c r="B24" s="10" t="str">
        <x:v>G003-F03</x:v>
      </x:c>
      <x:c r="C24" s="10" t="str">
        <x:v>CMA CGM Group</x:v>
      </x:c>
      <x:c r="D24" s="10" t="str">
        <x:v>CMA CGM</x:v>
      </x:c>
      <x:c r="E24" s="10" t="str">
        <x:v>Rattaché à l'entité opérationnelle</x:v>
      </x:c>
      <x:c r="F24" s="10" t="str">
        <x:v>CMA CGM Group</x:v>
      </x:c>
      <x:c r="G24" s="10" t="str">
        <x:v>CMA CGM</x:v>
      </x:c>
      <x:c r="H24" s="10" t="str">
        <x:v>CMA CGM COLUMBA</x:v>
      </x:c>
      <x:c r="I24" s="10"/>
      <x:c r="J24" s="10" t="str">
        <x:v>2024-07-23</x:v>
      </x:c>
      <x:c r="K24" s="10" t="n">
        <x:v>2024</x:v>
      </x:c>
      <x:c r="L24" s="10" t="str">
        <x:v>Service CMA CGM</x:v>
      </x:c>
      <x:c r="M24" s="10" t="str">
        <x:v>Le Havre</x:v>
      </x:c>
      <x:c r="N24" s="10" t="str">
        <x:v>C</x:v>
      </x:c>
      <x:c r="O24" s="10" t="str">
        <x:v>https://www.marine-marchande.net/Jourlejour4/AujourleJour-539.html</x:v>
      </x:c>
      <x:c r="P24" s="10" t="str">
        <x:v>Mouvement portuaire daté.</x:v>
      </x:c>
    </x:row>
    <x:row r="25">
      <x:c r="A25" s="10" t="str">
        <x:v>G003</x:v>
      </x:c>
      <x:c r="B25" s="10" t="str">
        <x:v>G003-F03</x:v>
      </x:c>
      <x:c r="C25" s="10" t="str">
        <x:v>CMA CGM Group</x:v>
      </x:c>
      <x:c r="D25" s="10" t="str">
        <x:v>CMA CGM</x:v>
      </x:c>
      <x:c r="E25" s="10" t="str">
        <x:v>Rattaché à l'entité opérationnelle</x:v>
      </x:c>
      <x:c r="F25" s="10" t="str">
        <x:v>CMA CGM Group</x:v>
      </x:c>
      <x:c r="G25" s="10" t="str">
        <x:v>CMA CGM</x:v>
      </x:c>
      <x:c r="H25" s="10" t="str">
        <x:v>CMA CGM DOLOMITES</x:v>
      </x:c>
      <x:c r="I25" s="10" t="str">
        <x:v>9926221</x:v>
      </x:c>
      <x:c r="J25" s="10" t="str">
        <x:v>2026-04</x:v>
      </x:c>
      <x:c r="K25" s="10" t="n">
        <x:v>2026</x:v>
      </x:c>
      <x:c r="L25" s="10" t="str">
        <x:v>Service CMA CGM</x:v>
      </x:c>
      <x:c r="M25" s="10" t="str">
        <x:v>Le Havre</x:v>
      </x:c>
      <x:c r="N25" s="10" t="str">
        <x:v>C</x:v>
      </x:c>
      <x:c r="O25" s="10" t="str">
        <x:v>https://www.marine-marchande.net/Jourlejour4/AujourleJour-559.html</x:v>
      </x:c>
      <x:c r="P25" s="10" t="str">
        <x:v>Présence havraise documentée début avril 2026.</x:v>
      </x:c>
    </x:row>
    <x:row r="26">
      <x:c r="A26" s="10" t="str">
        <x:v>G003</x:v>
      </x:c>
      <x:c r="B26" s="10" t="str">
        <x:v>G003-F03</x:v>
      </x:c>
      <x:c r="C26" s="10" t="str">
        <x:v>CMA CGM Group</x:v>
      </x:c>
      <x:c r="D26" s="10" t="str">
        <x:v>CMA CGM</x:v>
      </x:c>
      <x:c r="E26" s="10" t="str">
        <x:v>Rattaché à l'entité opérationnelle</x:v>
      </x:c>
      <x:c r="F26" s="10" t="str">
        <x:v>CMA CGM Group</x:v>
      </x:c>
      <x:c r="G26" s="10" t="str">
        <x:v>CMA CGM</x:v>
      </x:c>
      <x:c r="H26" s="10" t="str">
        <x:v>CMA CGM EIFFEL</x:v>
      </x:c>
      <x:c r="I26" s="10"/>
      <x:c r="J26" s="10" t="str">
        <x:v>2023-10-25</x:v>
      </x:c>
      <x:c r="K26" s="10" t="n">
        <x:v>2023</x:v>
      </x:c>
      <x:c r="L26" s="10" t="str">
        <x:v>NC Levant</x:v>
      </x:c>
      <x:c r="M26" s="10" t="str">
        <x:v>Le Havre</x:v>
      </x:c>
      <x:c r="N26" s="10" t="str">
        <x:v>B1</x:v>
      </x:c>
      <x:c r="O26" s="10" t="str">
        <x:v>https://www.cma-cgm.com/ebusiness/schedules/voyage/detail?voyageReference=0MRARE1MA</x:v>
      </x:c>
      <x:c r="P26" s="10" t="str">
        <x:v>Voyage historique CMA CGM.</x:v>
      </x:c>
    </x:row>
    <x:row r="27">
      <x:c r="A27" s="10" t="str">
        <x:v>G003</x:v>
      </x:c>
      <x:c r="B27" s="10" t="str">
        <x:v>G003-F03</x:v>
      </x:c>
      <x:c r="C27" s="10" t="str">
        <x:v>CMA CGM Group</x:v>
      </x:c>
      <x:c r="D27" s="10" t="str">
        <x:v>CMA CGM</x:v>
      </x:c>
      <x:c r="E27" s="10" t="str">
        <x:v>Rattaché à l'entité opérationnelle</x:v>
      </x:c>
      <x:c r="F27" s="10" t="str">
        <x:v>CMA CGM Group</x:v>
      </x:c>
      <x:c r="G27" s="10" t="str">
        <x:v>CMA CGM</x:v>
      </x:c>
      <x:c r="H27" s="10" t="str">
        <x:v>CMA CGM FIDELIO</x:v>
      </x:c>
      <x:c r="I27" s="10" t="str">
        <x:v>9299642</x:v>
      </x:c>
      <x:c r="J27" s="10" t="str">
        <x:v>2026-03-30</x:v>
      </x:c>
      <x:c r="K27" s="10" t="n">
        <x:v>2026</x:v>
      </x:c>
      <x:c r="L27" s="10" t="str">
        <x:v>Asie-Europe</x:v>
      </x:c>
      <x:c r="M27" s="10" t="str">
        <x:v>Port 2000</x:v>
      </x:c>
      <x:c r="N27" s="10" t="str">
        <x:v>A2</x:v>
      </x:c>
      <x:c r="O27" s="10" t="str">
        <x:v>https://www.vesselfinder.com/vessels/details/9299642</x:v>
      </x:c>
      <x:c r="P27" s="10" t="str">
        <x:v>VesselFinder : historique/visite du Havre corroboré.</x:v>
      </x:c>
    </x:row>
    <x:row r="28">
      <x:c r="A28" s="10" t="str">
        <x:v>G003</x:v>
      </x:c>
      <x:c r="B28" s="10" t="str">
        <x:v>G003-F03</x:v>
      </x:c>
      <x:c r="C28" s="10" t="str">
        <x:v>CMA CGM Group</x:v>
      </x:c>
      <x:c r="D28" s="10" t="str">
        <x:v>CMA CGM</x:v>
      </x:c>
      <x:c r="E28" s="10" t="str">
        <x:v>Rattaché à l'entité opérationnelle</x:v>
      </x:c>
      <x:c r="F28" s="10" t="str">
        <x:v>CMA CGM Group</x:v>
      </x:c>
      <x:c r="G28" s="10" t="str">
        <x:v>CMA CGM</x:v>
      </x:c>
      <x:c r="H28" s="10" t="str">
        <x:v>CMA CGM FIGARO</x:v>
      </x:c>
      <x:c r="I28" s="10" t="str">
        <x:v>9450600</x:v>
      </x:c>
      <x:c r="J28" s="10" t="str">
        <x:v>2026-09-18</x:v>
      </x:c>
      <x:c r="K28" s="10" t="n">
        <x:v>2026</x:v>
      </x:c>
      <x:c r="L28" s="10" t="str">
        <x:v>Service CMA CGM</x:v>
      </x:c>
      <x:c r="M28" s="10" t="str">
        <x:v>Terminal de France</x:v>
      </x:c>
      <x:c r="N28" s="10" t="str">
        <x:v>A1</x:v>
      </x:c>
      <x:c r="O28" s="10" t="str">
        <x:v>https://www.havre-port.com/fr/liste/129/departs-au-grand-port-maritime-du-havre</x:v>
      </x:c>
      <x:c r="P28" s="10" t="str">
        <x:v>Mouvement officiel S-WiNG/HAROPA au 18/09/2026.</x:v>
      </x:c>
    </x:row>
    <x:row r="29">
      <x:c r="A29" s="10" t="str">
        <x:v>G003</x:v>
      </x:c>
      <x:c r="B29" s="10" t="str">
        <x:v>G003-F03</x:v>
      </x:c>
      <x:c r="C29" s="10" t="str">
        <x:v>CMA CGM Group</x:v>
      </x:c>
      <x:c r="D29" s="10" t="str">
        <x:v>CMA CGM</x:v>
      </x:c>
      <x:c r="E29" s="10" t="str">
        <x:v>Rattaché à l'entité opérationnelle</x:v>
      </x:c>
      <x:c r="F29" s="10" t="str">
        <x:v>CMA CGM Group</x:v>
      </x:c>
      <x:c r="G29" s="10" t="str">
        <x:v>CMA CGM</x:v>
      </x:c>
      <x:c r="H29" s="10" t="str">
        <x:v>CMA CGM FLEUR D'EPEE</x:v>
      </x:c>
      <x:c r="I29" s="10"/>
      <x:c r="J29" s="10" t="str">
        <x:v>2024-07-21</x:v>
      </x:c>
      <x:c r="K29" s="10" t="n">
        <x:v>2024</x:v>
      </x:c>
      <x:c r="L29" s="10" t="str">
        <x:v>Service CMA CGM</x:v>
      </x:c>
      <x:c r="M29" s="10" t="str">
        <x:v>Le Havre</x:v>
      </x:c>
      <x:c r="N29" s="10" t="str">
        <x:v>C</x:v>
      </x:c>
      <x:c r="O29" s="10" t="str">
        <x:v>https://www.marine-marchande.net/Jourlejour4/AujourleJour-539.html</x:v>
      </x:c>
      <x:c r="P29" s="10" t="str">
        <x:v>Mouvement portuaire daté.</x:v>
      </x:c>
    </x:row>
    <x:row r="30">
      <x:c r="A30" s="10" t="str">
        <x:v>G003</x:v>
      </x:c>
      <x:c r="B30" s="10" t="str">
        <x:v>G003-F03</x:v>
      </x:c>
      <x:c r="C30" s="10" t="str">
        <x:v>CMA CGM Group</x:v>
      </x:c>
      <x:c r="D30" s="10" t="str">
        <x:v>CMA CGM</x:v>
      </x:c>
      <x:c r="E30" s="10" t="str">
        <x:v>Rattaché à l'entité opérationnelle</x:v>
      </x:c>
      <x:c r="F30" s="10" t="str">
        <x:v>CMA CGM Group</x:v>
      </x:c>
      <x:c r="G30" s="10" t="str">
        <x:v>CMA CGM</x:v>
      </x:c>
      <x:c r="H30" s="10" t="str">
        <x:v>CMA CGM FORT DE FRANCE</x:v>
      </x:c>
      <x:c r="I30" s="10"/>
      <x:c r="J30" s="10" t="str">
        <x:v>2023-09-01</x:v>
      </x:c>
      <x:c r="K30" s="10" t="n">
        <x:v>2023</x:v>
      </x:c>
      <x:c r="L30" s="10" t="str">
        <x:v>NEFWI</x:v>
      </x:c>
      <x:c r="M30" s="10" t="str">
        <x:v>Le Havre</x:v>
      </x:c>
      <x:c r="N30" s="10" t="str">
        <x:v>B1</x:v>
      </x:c>
      <x:c r="O30" s="10" t="str">
        <x:v>https://www.cma-cgm.com/ebusiness/schedules/voyage/detail?voyageReference=0NVGCE1MA</x:v>
      </x:c>
      <x:c r="P30" s="10" t="str">
        <x:v>Voyage historique CMA CGM.</x:v>
      </x:c>
    </x:row>
    <x:row r="31">
      <x:c r="A31" s="10" t="str">
        <x:v>G003</x:v>
      </x:c>
      <x:c r="B31" s="10" t="str">
        <x:v>G003-F03</x:v>
      </x:c>
      <x:c r="C31" s="10" t="str">
        <x:v>CMA CGM Group</x:v>
      </x:c>
      <x:c r="D31" s="10" t="str">
        <x:v>CMA CGM</x:v>
      </x:c>
      <x:c r="E31" s="10" t="str">
        <x:v>Rattaché à l'entité opérationnelle</x:v>
      </x:c>
      <x:c r="F31" s="10" t="str">
        <x:v>CMA CGM Group</x:v>
      </x:c>
      <x:c r="G31" s="10" t="str">
        <x:v>CMA CGM</x:v>
      </x:c>
      <x:c r="H31" s="10" t="str">
        <x:v>CMA CGM FORT SAINT CHARLES</x:v>
      </x:c>
      <x:c r="I31" s="10"/>
      <x:c r="J31" s="10" t="str">
        <x:v>2023-02-19</x:v>
      </x:c>
      <x:c r="K31" s="10" t="n">
        <x:v>2023</x:v>
      </x:c>
      <x:c r="L31" s="10" t="str">
        <x:v>Service CMA CGM</x:v>
      </x:c>
      <x:c r="M31" s="10" t="str">
        <x:v>Le Havre</x:v>
      </x:c>
      <x:c r="N31" s="10" t="str">
        <x:v>C</x:v>
      </x:c>
      <x:c r="O31" s="10" t="str">
        <x:v>https://www.marine-marchande.net/Jourlejour4/AujourleJour-521.html</x:v>
      </x:c>
      <x:c r="P31" s="10" t="str">
        <x:v>Départ du Havre documenté.</x:v>
      </x:c>
    </x:row>
    <x:row r="32">
      <x:c r="A32" s="10" t="str">
        <x:v>G003</x:v>
      </x:c>
      <x:c r="B32" s="10" t="str">
        <x:v>G003-F03</x:v>
      </x:c>
      <x:c r="C32" s="10" t="str">
        <x:v>CMA CGM Group</x:v>
      </x:c>
      <x:c r="D32" s="10" t="str">
        <x:v>CMA CGM</x:v>
      </x:c>
      <x:c r="E32" s="10" t="str">
        <x:v>Rattaché à l'entité opérationnelle</x:v>
      </x:c>
      <x:c r="F32" s="10" t="str">
        <x:v>CMA CGM Group</x:v>
      </x:c>
      <x:c r="G32" s="10" t="str">
        <x:v>CMA CGM</x:v>
      </x:c>
      <x:c r="H32" s="10" t="str">
        <x:v>CMA CGM HAMLET</x:v>
      </x:c>
      <x:c r="I32" s="10" t="str">
        <x:v>9763710</x:v>
      </x:c>
      <x:c r="J32" s="10" t="str">
        <x:v>2026-03-03</x:v>
      </x:c>
      <x:c r="K32" s="10" t="n">
        <x:v>2026</x:v>
      </x:c>
      <x:c r="L32" s="10" t="str">
        <x:v>Service CMA CGM</x:v>
      </x:c>
      <x:c r="M32" s="10" t="str">
        <x:v>Le Havre</x:v>
      </x:c>
      <x:c r="N32" s="10" t="str">
        <x:v>C</x:v>
      </x:c>
      <x:c r="O32" s="10" t="str">
        <x:v>https://www.marine-marchande.net/Jourlejour4/AujourleJour-558.html</x:v>
      </x:c>
      <x:c r="P32" s="10" t="str">
        <x:v>Observation portuaire datée.</x:v>
      </x:c>
    </x:row>
    <x:row r="33">
      <x:c r="A33" s="10" t="str">
        <x:v>G003</x:v>
      </x:c>
      <x:c r="B33" s="10" t="str">
        <x:v>G003-F03</x:v>
      </x:c>
      <x:c r="C33" s="10" t="str">
        <x:v>CMA CGM Group</x:v>
      </x:c>
      <x:c r="D33" s="10" t="str">
        <x:v>CMA CGM</x:v>
      </x:c>
      <x:c r="E33" s="10" t="str">
        <x:v>Rattaché à l'entité opérationnelle</x:v>
      </x:c>
      <x:c r="F33" s="10" t="str">
        <x:v>CMA CGM Group</x:v>
      </x:c>
      <x:c r="G33" s="10" t="str">
        <x:v>CMA CGM</x:v>
      </x:c>
      <x:c r="H33" s="10" t="str">
        <x:v>CMA CGM ISKENDERUN</x:v>
      </x:c>
      <x:c r="I33" s="10"/>
      <x:c r="J33" s="10" t="str">
        <x:v>2023-02</x:v>
      </x:c>
      <x:c r="K33" s="10" t="n">
        <x:v>2023</x:v>
      </x:c>
      <x:c r="L33" s="10" t="str">
        <x:v>Service CMA CGM</x:v>
      </x:c>
      <x:c r="M33" s="10" t="str">
        <x:v>Le Havre</x:v>
      </x:c>
      <x:c r="N33" s="10" t="str">
        <x:v>C</x:v>
      </x:c>
      <x:c r="O33" s="10" t="str">
        <x:v>https://www.marine-marchande.net/Jourlejour4/AujourleJour-521.html</x:v>
      </x:c>
      <x:c r="P33" s="10" t="str">
        <x:v>Présence havraise documentée en février 2023.</x:v>
      </x:c>
    </x:row>
    <x:row r="34">
      <x:c r="A34" s="10" t="str">
        <x:v>G003</x:v>
      </x:c>
      <x:c r="B34" s="10" t="str">
        <x:v>G003-F03</x:v>
      </x:c>
      <x:c r="C34" s="10" t="str">
        <x:v>CMA CGM Group</x:v>
      </x:c>
      <x:c r="D34" s="10" t="str">
        <x:v>CMA CGM</x:v>
      </x:c>
      <x:c r="E34" s="10" t="str">
        <x:v>Rattaché à l'entité opérationnelle</x:v>
      </x:c>
      <x:c r="F34" s="10" t="str">
        <x:v>CMA CGM Group</x:v>
      </x:c>
      <x:c r="G34" s="10" t="str">
        <x:v>CMA CGM</x:v>
      </x:c>
      <x:c r="H34" s="10" t="str">
        <x:v>CMA CGM JACQUES SAADE</x:v>
      </x:c>
      <x:c r="I34" s="10"/>
      <x:c r="J34" s="10" t="str">
        <x:v>2024-01-15</x:v>
      </x:c>
      <x:c r="K34" s="10" t="n">
        <x:v>2024</x:v>
      </x:c>
      <x:c r="L34" s="10" t="str">
        <x:v>FAL3</x:v>
      </x:c>
      <x:c r="M34" s="10" t="str">
        <x:v>Terminal de France</x:v>
      </x:c>
      <x:c r="N34" s="10" t="str">
        <x:v>B1</x:v>
      </x:c>
      <x:c r="O34" s="10" t="str">
        <x:v>https://www.cma-cgm.com/ebusiness/schedules/voyage/detail?voyageReference=0FMEKW1MA</x:v>
      </x:c>
      <x:c r="P34" s="10" t="str">
        <x:v>Voyage historique CMA CGM.</x:v>
      </x:c>
    </x:row>
    <x:row r="35">
      <x:c r="A35" s="10" t="str">
        <x:v>G003</x:v>
      </x:c>
      <x:c r="B35" s="10" t="str">
        <x:v>G003-F03</x:v>
      </x:c>
      <x:c r="C35" s="10" t="str">
        <x:v>CMA CGM Group</x:v>
      </x:c>
      <x:c r="D35" s="10" t="str">
        <x:v>CMA CGM</x:v>
      </x:c>
      <x:c r="E35" s="10" t="str">
        <x:v>Rattaché à l'entité opérationnelle</x:v>
      </x:c>
      <x:c r="F35" s="10" t="str">
        <x:v>CMA CGM Group</x:v>
      </x:c>
      <x:c r="G35" s="10" t="str">
        <x:v>CMA CGM</x:v>
      </x:c>
      <x:c r="H35" s="10" t="str">
        <x:v>CMA CGM JEAN MERMOZ</x:v>
      </x:c>
      <x:c r="I35" s="10"/>
      <x:c r="J35" s="10" t="str">
        <x:v>2024-09</x:v>
      </x:c>
      <x:c r="K35" s="10" t="n">
        <x:v>2024</x:v>
      </x:c>
      <x:c r="L35" s="10" t="str">
        <x:v>Asie-Europe</x:v>
      </x:c>
      <x:c r="M35" s="10" t="str">
        <x:v>Le Havre</x:v>
      </x:c>
      <x:c r="N35" s="10" t="str">
        <x:v>C</x:v>
      </x:c>
      <x:c r="O35" s="10" t="str">
        <x:v>https://www.marine-marchande.net/Jourlejour4/AujourleJour-540.html</x:v>
      </x:c>
      <x:c r="P35" s="10" t="str">
        <x:v>Présence au Havre documentée en septembre 2024.</x:v>
      </x:c>
    </x:row>
    <x:row r="36">
      <x:c r="A36" s="10" t="str">
        <x:v>G003</x:v>
      </x:c>
      <x:c r="B36" s="10" t="str">
        <x:v>G003-F03</x:v>
      </x:c>
      <x:c r="C36" s="10" t="str">
        <x:v>CMA CGM Group</x:v>
      </x:c>
      <x:c r="D36" s="10" t="str">
        <x:v>CMA CGM</x:v>
      </x:c>
      <x:c r="E36" s="10" t="str">
        <x:v>Rattaché à l'entité opérationnelle</x:v>
      </x:c>
      <x:c r="F36" s="10" t="str">
        <x:v>CMA CGM Group</x:v>
      </x:c>
      <x:c r="G36" s="10" t="str">
        <x:v>CMA CGM</x:v>
      </x:c>
      <x:c r="H36" s="10" t="str">
        <x:v>CMA CGM KERGUELEN</x:v>
      </x:c>
      <x:c r="I36" s="10"/>
      <x:c r="J36" s="10" t="str">
        <x:v>2024-06-18</x:v>
      </x:c>
      <x:c r="K36" s="10" t="n">
        <x:v>2024</x:v>
      </x:c>
      <x:c r="L36" s="10" t="str">
        <x:v>Asie-Europe</x:v>
      </x:c>
      <x:c r="M36" s="10" t="str">
        <x:v>Le Havre</x:v>
      </x:c>
      <x:c r="N36" s="10" t="str">
        <x:v>C</x:v>
      </x:c>
      <x:c r="O36" s="10" t="str">
        <x:v>https://www.marine-marchande.net/Jourlejour4/AujourleJour-537.html</x:v>
      </x:c>
      <x:c r="P36" s="10" t="str">
        <x:v>Mouvement portuaire daté.</x:v>
      </x:c>
    </x:row>
    <x:row r="37">
      <x:c r="A37" s="10" t="str">
        <x:v>G003</x:v>
      </x:c>
      <x:c r="B37" s="10" t="str">
        <x:v>G003-F03</x:v>
      </x:c>
      <x:c r="C37" s="10" t="str">
        <x:v>CMA CGM Group</x:v>
      </x:c>
      <x:c r="D37" s="10" t="str">
        <x:v>CMA CGM</x:v>
      </x:c>
      <x:c r="E37" s="10" t="str">
        <x:v>Rattaché à l'entité opérationnelle</x:v>
      </x:c>
      <x:c r="F37" s="10" t="str">
        <x:v>CMA CGM Group</x:v>
      </x:c>
      <x:c r="G37" s="10" t="str">
        <x:v>CMA CGM</x:v>
      </x:c>
      <x:c r="H37" s="10" t="str">
        <x:v>CMA CGM LOUIS BLERIOT</x:v>
      </x:c>
      <x:c r="I37" s="10"/>
      <x:c r="J37" s="10" t="str">
        <x:v>2023-02-07</x:v>
      </x:c>
      <x:c r="K37" s="10" t="n">
        <x:v>2023</x:v>
      </x:c>
      <x:c r="L37" s="10" t="str">
        <x:v>Asie-Europe</x:v>
      </x:c>
      <x:c r="M37" s="10" t="str">
        <x:v>Port 2000</x:v>
      </x:c>
      <x:c r="N37" s="10" t="str">
        <x:v>C</x:v>
      </x:c>
      <x:c r="O37" s="10" t="str">
        <x:v>https://www.marine-marchande.net/Jourlejour4/AujourleJour-521.html</x:v>
      </x:c>
      <x:c r="P37" s="10" t="str">
        <x:v>Mouvement portuaire daté.</x:v>
      </x:c>
    </x:row>
    <x:row r="38">
      <x:c r="A38" s="10" t="str">
        <x:v>G003</x:v>
      </x:c>
      <x:c r="B38" s="10" t="str">
        <x:v>G003-F03</x:v>
      </x:c>
      <x:c r="C38" s="10" t="str">
        <x:v>CMA CGM Group</x:v>
      </x:c>
      <x:c r="D38" s="10" t="str">
        <x:v>CMA CGM</x:v>
      </x:c>
      <x:c r="E38" s="10" t="str">
        <x:v>Rattaché à l'entité opérationnelle</x:v>
      </x:c>
      <x:c r="F38" s="10" t="str">
        <x:v>CMA CGM Group</x:v>
      </x:c>
      <x:c r="G38" s="10" t="str">
        <x:v>CMA CGM</x:v>
      </x:c>
      <x:c r="H38" s="10" t="str">
        <x:v>CMA CGM LOUVRE</x:v>
      </x:c>
      <x:c r="I38" s="10"/>
      <x:c r="J38" s="10" t="str">
        <x:v>2024-01-31</x:v>
      </x:c>
      <x:c r="K38" s="10" t="n">
        <x:v>2024</x:v>
      </x:c>
      <x:c r="L38" s="10" t="str">
        <x:v>FAL3</x:v>
      </x:c>
      <x:c r="M38" s="10" t="str">
        <x:v>Terminal de France</x:v>
      </x:c>
      <x:c r="N38" s="10" t="str">
        <x:v>B1</x:v>
      </x:c>
      <x:c r="O38" s="10" t="str">
        <x:v>https://www.cma-cgm.com/ebusiness/schedules/voyage/detail?voyageReference=0FMEYW1MA</x:v>
      </x:c>
      <x:c r="P38" s="10" t="str">
        <x:v>Voyage historique CMA CGM.</x:v>
      </x:c>
    </x:row>
    <x:row r="39">
      <x:c r="A39" s="10" t="str">
        <x:v>G003</x:v>
      </x:c>
      <x:c r="B39" s="10" t="str">
        <x:v>G003-F03</x:v>
      </x:c>
      <x:c r="C39" s="10" t="str">
        <x:v>CMA CGM Group</x:v>
      </x:c>
      <x:c r="D39" s="10" t="str">
        <x:v>CMA CGM</x:v>
      </x:c>
      <x:c r="E39" s="10" t="str">
        <x:v>Rattaché à l'entité opérationnelle</x:v>
      </x:c>
      <x:c r="F39" s="10" t="str">
        <x:v>CMA CGM Group</x:v>
      </x:c>
      <x:c r="G39" s="10" t="str">
        <x:v>CMA CGM</x:v>
      </x:c>
      <x:c r="H39" s="10" t="str">
        <x:v>CMA CGM MARSEILLE</x:v>
      </x:c>
      <x:c r="I39" s="10"/>
      <x:c r="J39" s="10" t="str">
        <x:v>2023-02-19</x:v>
      </x:c>
      <x:c r="K39" s="10" t="n">
        <x:v>2023</x:v>
      </x:c>
      <x:c r="L39" s="10" t="str">
        <x:v>Service CMA CGM</x:v>
      </x:c>
      <x:c r="M39" s="10" t="str">
        <x:v>Le Havre</x:v>
      </x:c>
      <x:c r="N39" s="10" t="str">
        <x:v>C</x:v>
      </x:c>
      <x:c r="O39" s="10" t="str">
        <x:v>https://www.marine-marchande.net/Jourlejour4/AujourleJour-521.html</x:v>
      </x:c>
      <x:c r="P39" s="10" t="str">
        <x:v>Mouvement portuaire daté.</x:v>
      </x:c>
    </x:row>
    <x:row r="40">
      <x:c r="A40" s="10" t="str">
        <x:v>G003</x:v>
      </x:c>
      <x:c r="B40" s="10" t="str">
        <x:v>G003-F03</x:v>
      </x:c>
      <x:c r="C40" s="10" t="str">
        <x:v>CMA CGM Group</x:v>
      </x:c>
      <x:c r="D40" s="10" t="str">
        <x:v>CMA CGM</x:v>
      </x:c>
      <x:c r="E40" s="10" t="str">
        <x:v>Rattaché à l'entité opérationnelle</x:v>
      </x:c>
      <x:c r="F40" s="10" t="str">
        <x:v>CMA CGM Group</x:v>
      </x:c>
      <x:c r="G40" s="10" t="str">
        <x:v>CMA CGM</x:v>
      </x:c>
      <x:c r="H40" s="10" t="str">
        <x:v>CMA CGM MOLIERE</x:v>
      </x:c>
      <x:c r="I40" s="10"/>
      <x:c r="J40" s="10" t="str">
        <x:v>2024-04-09</x:v>
      </x:c>
      <x:c r="K40" s="10" t="n">
        <x:v>2024</x:v>
      </x:c>
      <x:c r="L40" s="10" t="str">
        <x:v>Service CMA CGM</x:v>
      </x:c>
      <x:c r="M40" s="10" t="str">
        <x:v>Le Havre</x:v>
      </x:c>
      <x:c r="N40" s="10" t="str">
        <x:v>C</x:v>
      </x:c>
      <x:c r="O40" s="10" t="str">
        <x:v>https://www.marine-marchande.net/Jourlejour4/AujourleJour-535.html</x:v>
      </x:c>
      <x:c r="P40" s="10" t="str">
        <x:v>Mouvement portuaire daté.</x:v>
      </x:c>
    </x:row>
    <x:row r="41">
      <x:c r="A41" s="10" t="str">
        <x:v>G003</x:v>
      </x:c>
      <x:c r="B41" s="10" t="str">
        <x:v>G003-F03</x:v>
      </x:c>
      <x:c r="C41" s="10" t="str">
        <x:v>CMA CGM Group</x:v>
      </x:c>
      <x:c r="D41" s="10" t="str">
        <x:v>CMA CGM</x:v>
      </x:c>
      <x:c r="E41" s="10" t="str">
        <x:v>Rattaché à l'entité opérationnelle</x:v>
      </x:c>
      <x:c r="F41" s="10" t="str">
        <x:v>CMA CGM Group</x:v>
      </x:c>
      <x:c r="G41" s="10" t="str">
        <x:v>CMA CGM</x:v>
      </x:c>
      <x:c r="H41" s="10" t="str">
        <x:v>CMA CGM MONTMARTRE</x:v>
      </x:c>
      <x:c r="I41" s="10"/>
      <x:c r="J41" s="10" t="str">
        <x:v>2024-07-04</x:v>
      </x:c>
      <x:c r="K41" s="10" t="n">
        <x:v>2024</x:v>
      </x:c>
      <x:c r="L41" s="10" t="str">
        <x:v>Asie-Europe</x:v>
      </x:c>
      <x:c r="M41" s="10" t="str">
        <x:v>Le Havre</x:v>
      </x:c>
      <x:c r="N41" s="10" t="str">
        <x:v>C</x:v>
      </x:c>
      <x:c r="O41" s="10" t="str">
        <x:v>https://www.marine-marchande.net/Jourlejour4/AujourleJour-539.html</x:v>
      </x:c>
      <x:c r="P41" s="10" t="str">
        <x:v>Présence havraise documentée.</x:v>
      </x:c>
    </x:row>
    <x:row r="42">
      <x:c r="A42" s="10" t="str">
        <x:v>G003</x:v>
      </x:c>
      <x:c r="B42" s="10" t="str">
        <x:v>G003-F03</x:v>
      </x:c>
      <x:c r="C42" s="10" t="str">
        <x:v>CMA CGM Group</x:v>
      </x:c>
      <x:c r="D42" s="10" t="str">
        <x:v>CMA CGM</x:v>
      </x:c>
      <x:c r="E42" s="10" t="str">
        <x:v>Rattaché à l'entité opérationnelle</x:v>
      </x:c>
      <x:c r="F42" s="10" t="str">
        <x:v>CMA CGM Group</x:v>
      </x:c>
      <x:c r="G42" s="10" t="str">
        <x:v>CMA CGM</x:v>
      </x:c>
      <x:c r="H42" s="10" t="str">
        <x:v>CMA CGM MOZART</x:v>
      </x:c>
      <x:c r="I42" s="10"/>
      <x:c r="J42" s="10" t="str">
        <x:v>2024-07-04</x:v>
      </x:c>
      <x:c r="K42" s="10" t="n">
        <x:v>2024</x:v>
      </x:c>
      <x:c r="L42" s="10" t="str">
        <x:v>Service CMA CGM</x:v>
      </x:c>
      <x:c r="M42" s="10" t="str">
        <x:v>Le Havre</x:v>
      </x:c>
      <x:c r="N42" s="10" t="str">
        <x:v>C</x:v>
      </x:c>
      <x:c r="O42" s="10" t="str">
        <x:v>https://www.marine-marchande.net/Jourlejour4/AujourleJour-539.html</x:v>
      </x:c>
      <x:c r="P42" s="10" t="str">
        <x:v>Mouvement portuaire daté.</x:v>
      </x:c>
    </x:row>
    <x:row r="43">
      <x:c r="A43" s="10" t="str">
        <x:v>G003</x:v>
      </x:c>
      <x:c r="B43" s="10" t="str">
        <x:v>G003-F03</x:v>
      </x:c>
      <x:c r="C43" s="10" t="str">
        <x:v>CMA CGM Group</x:v>
      </x:c>
      <x:c r="D43" s="10" t="str">
        <x:v>CMA CGM</x:v>
      </x:c>
      <x:c r="E43" s="10" t="str">
        <x:v>Rattaché à l'entité opérationnelle</x:v>
      </x:c>
      <x:c r="F43" s="10" t="str">
        <x:v>CMA CGM Group</x:v>
      </x:c>
      <x:c r="G43" s="10" t="str">
        <x:v>CMA CGM</x:v>
      </x:c>
      <x:c r="H43" s="10" t="str">
        <x:v>CMA CGM NANSHA</x:v>
      </x:c>
      <x:c r="I43" s="10" t="str">
        <x:v>9538658</x:v>
      </x:c>
      <x:c r="J43" s="10" t="str">
        <x:v>2026-04</x:v>
      </x:c>
      <x:c r="K43" s="10" t="n">
        <x:v>2026</x:v>
      </x:c>
      <x:c r="L43" s="10" t="str">
        <x:v>Service CMA CGM</x:v>
      </x:c>
      <x:c r="M43" s="10" t="str">
        <x:v>Le Havre</x:v>
      </x:c>
      <x:c r="N43" s="10" t="str">
        <x:v>C</x:v>
      </x:c>
      <x:c r="O43" s="10" t="str">
        <x:v>https://www.marine-marchande.net/Jourlejour4/AujourleJour-559.html</x:v>
      </x:c>
      <x:c r="P43" s="10" t="str">
        <x:v>Présence havraise documentée début avril 2026.</x:v>
      </x:c>
    </x:row>
    <x:row r="44">
      <x:c r="A44" s="10" t="str">
        <x:v>G003</x:v>
      </x:c>
      <x:c r="B44" s="10" t="str">
        <x:v>G003-F03</x:v>
      </x:c>
      <x:c r="C44" s="10" t="str">
        <x:v>CMA CGM Group</x:v>
      </x:c>
      <x:c r="D44" s="10" t="str">
        <x:v>CMA CGM</x:v>
      </x:c>
      <x:c r="E44" s="10" t="str">
        <x:v>Rattaché à l'entité opérationnelle</x:v>
      </x:c>
      <x:c r="F44" s="10" t="str">
        <x:v>CMA CGM Group</x:v>
      </x:c>
      <x:c r="G44" s="10" t="str">
        <x:v>CMA CGM</x:v>
      </x:c>
      <x:c r="H44" s="10" t="str">
        <x:v>CMA CGM PALAIS ROYAL</x:v>
      </x:c>
      <x:c r="I44" s="10"/>
      <x:c r="J44" s="10" t="str">
        <x:v>2024-10-23</x:v>
      </x:c>
      <x:c r="K44" s="10" t="n">
        <x:v>2024</x:v>
      </x:c>
      <x:c r="L44" s="10" t="str">
        <x:v>FAL</x:v>
      </x:c>
      <x:c r="M44" s="10" t="str">
        <x:v>Terminal de France</x:v>
      </x:c>
      <x:c r="N44" s="10" t="str">
        <x:v>B1</x:v>
      </x:c>
      <x:c r="O44" s="10" t="str">
        <x:v>https://www.cma-cgm.com/ebusiness/schedules/voyage/detail?voyageReference=0FMGZE1MA</x:v>
      </x:c>
      <x:c r="P44" s="10" t="str">
        <x:v>Voyage historique CMA CGM.</x:v>
      </x:c>
    </x:row>
    <x:row r="45">
      <x:c r="A45" s="10" t="str">
        <x:v>G003</x:v>
      </x:c>
      <x:c r="B45" s="10" t="str">
        <x:v>G003-F03</x:v>
      </x:c>
      <x:c r="C45" s="10" t="str">
        <x:v>CMA CGM Group</x:v>
      </x:c>
      <x:c r="D45" s="10" t="str">
        <x:v>CMA CGM</x:v>
      </x:c>
      <x:c r="E45" s="10" t="str">
        <x:v>Rattaché à l'entité opérationnelle</x:v>
      </x:c>
      <x:c r="F45" s="10" t="str">
        <x:v>CMA CGM Group</x:v>
      </x:c>
      <x:c r="G45" s="10" t="str">
        <x:v>CMA CGM</x:v>
      </x:c>
      <x:c r="H45" s="10" t="str">
        <x:v>CMA CGM PHOENIX</x:v>
      </x:c>
      <x:c r="I45" s="10"/>
      <x:c r="J45" s="10" t="str">
        <x:v>2026-04-15</x:v>
      </x:c>
      <x:c r="K45" s="10" t="n">
        <x:v>2026</x:v>
      </x:c>
      <x:c r="L45" s="10" t="str">
        <x:v>Asie-Europe</x:v>
      </x:c>
      <x:c r="M45" s="10" t="str">
        <x:v>Port 2000</x:v>
      </x:c>
      <x:c r="N45" s="10" t="str">
        <x:v>C</x:v>
      </x:c>
      <x:c r="O45" s="10" t="str">
        <x:v>https://www.marine-marchande.net/Jourlejour4/AujourleJour-560.html</x:v>
      </x:c>
      <x:c r="P45" s="10" t="str">
        <x:v>Présence documentée mi-avril 2026.</x:v>
      </x:c>
    </x:row>
    <x:row r="46">
      <x:c r="A46" s="10" t="str">
        <x:v>G003</x:v>
      </x:c>
      <x:c r="B46" s="10" t="str">
        <x:v>G003-F03</x:v>
      </x:c>
      <x:c r="C46" s="10" t="str">
        <x:v>CMA CGM Group</x:v>
      </x:c>
      <x:c r="D46" s="10" t="str">
        <x:v>CMA CGM</x:v>
      </x:c>
      <x:c r="E46" s="10" t="str">
        <x:v>Rattaché à l'entité opérationnelle</x:v>
      </x:c>
      <x:c r="F46" s="10" t="str">
        <x:v>CMA CGM Group</x:v>
      </x:c>
      <x:c r="G46" s="10" t="str">
        <x:v>CMA CGM</x:v>
      </x:c>
      <x:c r="H46" s="10" t="str">
        <x:v>CMA CGM RIVOLI</x:v>
      </x:c>
      <x:c r="I46" s="10"/>
      <x:c r="J46" s="10" t="str">
        <x:v>2024-06-30</x:v>
      </x:c>
      <x:c r="K46" s="10" t="n">
        <x:v>2024</x:v>
      </x:c>
      <x:c r="L46" s="10" t="str">
        <x:v>FAL</x:v>
      </x:c>
      <x:c r="M46" s="10" t="str">
        <x:v>Terminal de France</x:v>
      </x:c>
      <x:c r="N46" s="10" t="str">
        <x:v>B1</x:v>
      </x:c>
      <x:c r="O46" s="10" t="str">
        <x:v>https://www.cma-cgm.com/ebusiness/schedules/voyage/detail?voyageReference=0FMFKE1MA</x:v>
      </x:c>
      <x:c r="P46" s="10" t="str">
        <x:v>Voyage historique CMA CGM.</x:v>
      </x:c>
    </x:row>
    <x:row r="47">
      <x:c r="A47" s="10" t="str">
        <x:v>G003</x:v>
      </x:c>
      <x:c r="B47" s="10" t="str">
        <x:v>G003-F03</x:v>
      </x:c>
      <x:c r="C47" s="10" t="str">
        <x:v>CMA CGM Group</x:v>
      </x:c>
      <x:c r="D47" s="10" t="str">
        <x:v>CMA CGM</x:v>
      </x:c>
      <x:c r="E47" s="10" t="str">
        <x:v>Rattaché à l'entité opérationnelle</x:v>
      </x:c>
      <x:c r="F47" s="10" t="str">
        <x:v>CMA CGM Group</x:v>
      </x:c>
      <x:c r="G47" s="10" t="str">
        <x:v>CMA CGM</x:v>
      </x:c>
      <x:c r="H47" s="10" t="str">
        <x:v>CMA CGM SAINT GERMAIN</x:v>
      </x:c>
      <x:c r="I47" s="10" t="str">
        <x:v>9987201</x:v>
      </x:c>
      <x:c r="J47" s="10" t="str">
        <x:v>2025-07-23</x:v>
      </x:c>
      <x:c r="K47" s="10" t="n">
        <x:v>2025</x:v>
      </x:c>
      <x:c r="L47" s="10" t="str">
        <x:v>Asie-Europe</x:v>
      </x:c>
      <x:c r="M47" s="10" t="str">
        <x:v>Port 2000</x:v>
      </x:c>
      <x:c r="N47" s="10" t="str">
        <x:v>C</x:v>
      </x:c>
      <x:c r="O47" s="10" t="str">
        <x:v>https://www.marine-marchande.net/Jourlejour4/AujourleJour-552.html</x:v>
      </x:c>
      <x:c r="P47" s="10" t="str">
        <x:v>Observation portuaire datée.</x:v>
      </x:c>
    </x:row>
    <x:row r="48">
      <x:c r="A48" s="10" t="str">
        <x:v>G003</x:v>
      </x:c>
      <x:c r="B48" s="10" t="str">
        <x:v>G003-F03</x:v>
      </x:c>
      <x:c r="C48" s="10" t="str">
        <x:v>CMA CGM Group</x:v>
      </x:c>
      <x:c r="D48" s="10" t="str">
        <x:v>CMA CGM</x:v>
      </x:c>
      <x:c r="E48" s="10" t="str">
        <x:v>Rattaché à l'entité opérationnelle</x:v>
      </x:c>
      <x:c r="F48" s="10" t="str">
        <x:v>CMA CGM Group</x:v>
      </x:c>
      <x:c r="G48" s="10" t="str">
        <x:v>CMA CGM</x:v>
      </x:c>
      <x:c r="H48" s="10" t="str">
        <x:v>CMA CGM SAINT LAURENT</x:v>
      </x:c>
      <x:c r="I48" s="10"/>
      <x:c r="J48" s="10" t="str">
        <x:v>2026-03-27</x:v>
      </x:c>
      <x:c r="K48" s="10" t="n">
        <x:v>2026</x:v>
      </x:c>
      <x:c r="L48" s="10" t="str">
        <x:v>Asie-Europe</x:v>
      </x:c>
      <x:c r="M48" s="10" t="str">
        <x:v>Port 2000</x:v>
      </x:c>
      <x:c r="N48" s="10" t="str">
        <x:v>C</x:v>
      </x:c>
      <x:c r="O48" s="10" t="str">
        <x:v>https://www.marine-marchande.net/Jourlejour4/AujourleJour-559.html</x:v>
      </x:c>
      <x:c r="P48" s="10" t="str">
        <x:v>Observation portuaire datée.</x:v>
      </x:c>
    </x:row>
    <x:row r="49">
      <x:c r="A49" s="10" t="str">
        <x:v>G003</x:v>
      </x:c>
      <x:c r="B49" s="10" t="str">
        <x:v>G003-F03</x:v>
      </x:c>
      <x:c r="C49" s="10" t="str">
        <x:v>CMA CGM Group</x:v>
      </x:c>
      <x:c r="D49" s="10" t="str">
        <x:v>CMA CGM</x:v>
      </x:c>
      <x:c r="E49" s="10" t="str">
        <x:v>Rattaché à l'entité opérationnelle</x:v>
      </x:c>
      <x:c r="F49" s="10" t="str">
        <x:v>CMA CGM Group</x:v>
      </x:c>
      <x:c r="G49" s="10" t="str">
        <x:v>CMA CGM</x:v>
      </x:c>
      <x:c r="H49" s="10" t="str">
        <x:v>CMA CGM SEINE</x:v>
      </x:c>
      <x:c r="I49" s="10" t="str">
        <x:v>9987196</x:v>
      </x:c>
      <x:c r="J49" s="10" t="str">
        <x:v>2025-06-02</x:v>
      </x:c>
      <x:c r="K49" s="10" t="n">
        <x:v>2025</x:v>
      </x:c>
      <x:c r="L49" s="10" t="str">
        <x:v>FAL / Asie-Europe</x:v>
      </x:c>
      <x:c r="M49" s="10" t="str">
        <x:v>Terminal de France</x:v>
      </x:c>
      <x:c r="N49" s="10" t="str">
        <x:v>B1</x:v>
      </x:c>
      <x:c r="O49" s="10" t="str">
        <x:v>https://www.cma-cgm.com/ebusiness/schedules/voyage/detail?voyageReference=0FMJHE1MA</x:v>
      </x:c>
      <x:c r="P49" s="10" t="str">
        <x:v>Voyage officiel CMA CGM.</x:v>
      </x:c>
    </x:row>
    <x:row r="50">
      <x:c r="A50" s="10" t="str">
        <x:v>G003</x:v>
      </x:c>
      <x:c r="B50" s="10" t="str">
        <x:v>G003-F03</x:v>
      </x:c>
      <x:c r="C50" s="10" t="str">
        <x:v>CMA CGM Group</x:v>
      </x:c>
      <x:c r="D50" s="10" t="str">
        <x:v>CMA CGM</x:v>
      </x:c>
      <x:c r="E50" s="10" t="str">
        <x:v>Rattaché à l'entité opérationnelle</x:v>
      </x:c>
      <x:c r="F50" s="10" t="str">
        <x:v>CMA CGM Group</x:v>
      </x:c>
      <x:c r="G50" s="10" t="str">
        <x:v>CMA CGM</x:v>
      </x:c>
      <x:c r="H50" s="10" t="str">
        <x:v>CMA CGM SINNAMARY</x:v>
      </x:c>
      <x:c r="I50" s="10"/>
      <x:c r="J50" s="10" t="str">
        <x:v>2024-06-03</x:v>
      </x:c>
      <x:c r="K50" s="10" t="n">
        <x:v>2024</x:v>
      </x:c>
      <x:c r="L50" s="10" t="str">
        <x:v>Europe / Antilles</x:v>
      </x:c>
      <x:c r="M50" s="10" t="str">
        <x:v>Le Havre</x:v>
      </x:c>
      <x:c r="N50" s="10" t="str">
        <x:v>C</x:v>
      </x:c>
      <x:c r="O50" s="10" t="str">
        <x:v>https://www.marine-marchande.net/Jourlejour4/AujourleJour-537.html</x:v>
      </x:c>
      <x:c r="P50" s="10" t="str">
        <x:v>Observation portuaire datée.</x:v>
      </x:c>
    </x:row>
    <x:row r="51">
      <x:c r="A51" s="10" t="str">
        <x:v>G003</x:v>
      </x:c>
      <x:c r="B51" s="10" t="str">
        <x:v>G003-F03</x:v>
      </x:c>
      <x:c r="C51" s="10" t="str">
        <x:v>CMA CGM Group</x:v>
      </x:c>
      <x:c r="D51" s="10" t="str">
        <x:v>CMA CGM</x:v>
      </x:c>
      <x:c r="E51" s="10" t="str">
        <x:v>Rattaché à l'entité opérationnelle</x:v>
      </x:c>
      <x:c r="F51" s="10" t="str">
        <x:v>CMA CGM Group</x:v>
      </x:c>
      <x:c r="G51" s="10" t="str">
        <x:v>CMA CGM</x:v>
      </x:c>
      <x:c r="H51" s="10" t="str">
        <x:v>CMA CGM SORBONNE</x:v>
      </x:c>
      <x:c r="I51" s="10"/>
      <x:c r="J51" s="10" t="str">
        <x:v>2024-11-25</x:v>
      </x:c>
      <x:c r="K51" s="10" t="n">
        <x:v>2024</x:v>
      </x:c>
      <x:c r="L51" s="10" t="str">
        <x:v>Asie-Europe</x:v>
      </x:c>
      <x:c r="M51" s="10" t="str">
        <x:v>Le Havre</x:v>
      </x:c>
      <x:c r="N51" s="10" t="str">
        <x:v>C</x:v>
      </x:c>
      <x:c r="O51" s="10" t="str">
        <x:v>https://www.marine-marchande.net/Jourlejour4/AujourleJour-542.html</x:v>
      </x:c>
      <x:c r="P51" s="10" t="str">
        <x:v>Présence physique au Havre documentée.</x:v>
      </x:c>
    </x:row>
    <x:row r="52">
      <x:c r="A52" s="10" t="str">
        <x:v>G003</x:v>
      </x:c>
      <x:c r="B52" s="10" t="str">
        <x:v>G003-F03</x:v>
      </x:c>
      <x:c r="C52" s="10" t="str">
        <x:v>CMA CGM Group</x:v>
      </x:c>
      <x:c r="D52" s="10" t="str">
        <x:v>CMA CGM</x:v>
      </x:c>
      <x:c r="E52" s="10" t="str">
        <x:v>Rattaché à l'entité opérationnelle</x:v>
      </x:c>
      <x:c r="F52" s="10" t="str">
        <x:v>CMA CGM Group</x:v>
      </x:c>
      <x:c r="G52" s="10" t="str">
        <x:v>CMA CGM</x:v>
      </x:c>
      <x:c r="H52" s="10" t="str">
        <x:v>CMA CGM TITAN</x:v>
      </x:c>
      <x:c r="I52" s="10"/>
      <x:c r="J52" s="10" t="str">
        <x:v>2024-01-11</x:v>
      </x:c>
      <x:c r="K52" s="10" t="n">
        <x:v>2024</x:v>
      </x:c>
      <x:c r="L52" s="10" t="str">
        <x:v>FAL</x:v>
      </x:c>
      <x:c r="M52" s="10" t="str">
        <x:v>Terminal de France</x:v>
      </x:c>
      <x:c r="N52" s="10" t="str">
        <x:v>B1</x:v>
      </x:c>
      <x:c r="O52" s="10" t="str">
        <x:v>https://www.cma-cgm.com/ebusiness/schedules/voyage/detail?voyageReference=0FMEEW1MA</x:v>
      </x:c>
      <x:c r="P52" s="10" t="str">
        <x:v>Voyage historique CMA CGM.</x:v>
      </x:c>
    </x:row>
    <x:row r="53">
      <x:c r="A53" s="10" t="str">
        <x:v>G003</x:v>
      </x:c>
      <x:c r="B53" s="10" t="str">
        <x:v>G003-F03</x:v>
      </x:c>
      <x:c r="C53" s="10" t="str">
        <x:v>CMA CGM Group</x:v>
      </x:c>
      <x:c r="D53" s="10" t="str">
        <x:v>CMA CGM</x:v>
      </x:c>
      <x:c r="E53" s="10" t="str">
        <x:v>Rattaché à l'entité opérationnelle</x:v>
      </x:c>
      <x:c r="F53" s="10" t="str">
        <x:v>CMA CGM Group</x:v>
      </x:c>
      <x:c r="G53" s="10" t="str">
        <x:v>CMA CGM</x:v>
      </x:c>
      <x:c r="H53" s="10" t="str">
        <x:v>CMA CGM TROCADERO</x:v>
      </x:c>
      <x:c r="I53" s="10"/>
      <x:c r="J53" s="10" t="str">
        <x:v>2024-01-24</x:v>
      </x:c>
      <x:c r="K53" s="10" t="n">
        <x:v>2024</x:v>
      </x:c>
      <x:c r="L53" s="10" t="str">
        <x:v>FAL3</x:v>
      </x:c>
      <x:c r="M53" s="10" t="str">
        <x:v>Terminal de France</x:v>
      </x:c>
      <x:c r="N53" s="10" t="str">
        <x:v>B1</x:v>
      </x:c>
      <x:c r="O53" s="10" t="str">
        <x:v>https://www.cma-cgm.com/ebusiness/schedules/voyage/detail?voyageReference=0FMERW1MA</x:v>
      </x:c>
      <x:c r="P53" s="10" t="str">
        <x:v>Voyage historique CMA CGM.</x:v>
      </x:c>
    </x:row>
    <x:row r="54">
      <x:c r="A54" s="10" t="str">
        <x:v>G003</x:v>
      </x:c>
      <x:c r="B54" s="10" t="str">
        <x:v>G003-F03</x:v>
      </x:c>
      <x:c r="C54" s="10" t="str">
        <x:v>CMA CGM Group</x:v>
      </x:c>
      <x:c r="D54" s="10" t="str">
        <x:v>CMA CGM</x:v>
      </x:c>
      <x:c r="E54" s="10" t="str">
        <x:v>Rattaché à l'entité opérationnelle</x:v>
      </x:c>
      <x:c r="F54" s="10" t="str">
        <x:v>CMA CGM Group</x:v>
      </x:c>
      <x:c r="G54" s="10" t="str">
        <x:v>CMA CGM</x:v>
      </x:c>
      <x:c r="H54" s="10" t="str">
        <x:v>CMA CGM WHITE</x:v>
      </x:c>
      <x:c r="I54" s="10"/>
      <x:c r="J54" s="10" t="str">
        <x:v>2025-03-22</x:v>
      </x:c>
      <x:c r="K54" s="10" t="n">
        <x:v>2025</x:v>
      </x:c>
      <x:c r="L54" s="10" t="str">
        <x:v>Asie-Europe</x:v>
      </x:c>
      <x:c r="M54" s="10" t="str">
        <x:v>Port 2000</x:v>
      </x:c>
      <x:c r="N54" s="10" t="str">
        <x:v>C</x:v>
      </x:c>
      <x:c r="O54" s="10" t="str">
        <x:v>https://www.marine-marchande.net/Jourlejour4/AujourleJour-548.html</x:v>
      </x:c>
      <x:c r="P54" s="10" t="str">
        <x:v>Présence au Havre documentée sur la séquence du 22–25/03/2025.</x:v>
      </x:c>
    </x:row>
    <x:row r="55">
      <x:c r="A55" s="10" t="str">
        <x:v>G003</x:v>
      </x:c>
      <x:c r="B55" s="10" t="str">
        <x:v>G003-F03</x:v>
      </x:c>
      <x:c r="C55" s="10" t="str">
        <x:v>CMA CGM Group</x:v>
      </x:c>
      <x:c r="D55" s="10" t="str">
        <x:v>CMA CGM</x:v>
      </x:c>
      <x:c r="E55" s="10" t="str">
        <x:v>Rattaché à l'entité opérationnelle</x:v>
      </x:c>
      <x:c r="F55" s="10" t="str">
        <x:v>CMA CGM Group</x:v>
      </x:c>
      <x:c r="G55" s="10" t="str">
        <x:v>CMA CGM</x:v>
      </x:c>
      <x:c r="H55" s="10" t="str">
        <x:v>CMA CGM ZHENG HE</x:v>
      </x:c>
      <x:c r="I55" s="10"/>
      <x:c r="J55" s="10" t="str">
        <x:v>2023-08-08</x:v>
      </x:c>
      <x:c r="K55" s="10" t="n">
        <x:v>2023</x:v>
      </x:c>
      <x:c r="L55" s="10" t="str">
        <x:v>FAL / Asie-Europe</x:v>
      </x:c>
      <x:c r="M55" s="10" t="str">
        <x:v>Port 2000</x:v>
      </x:c>
      <x:c r="N55" s="10" t="str">
        <x:v>C</x:v>
      </x:c>
      <x:c r="O55" s="10" t="str">
        <x:v>https://www.marine-marchande.net/Jourlejour4/AujourleJour-527.html</x:v>
      </x:c>
      <x:c r="P55" s="10" t="str">
        <x:v>Observation portuaire datée.</x:v>
      </x:c>
    </x:row>
    <x:row r="56">
      <x:c r="A56" s="10" t="str">
        <x:v>G003</x:v>
      </x:c>
      <x:c r="B56" s="10" t="str">
        <x:v>G003-F03</x:v>
      </x:c>
      <x:c r="C56" s="10" t="str">
        <x:v>CMA CGM Group</x:v>
      </x:c>
      <x:c r="D56" s="10" t="str">
        <x:v>CMA CGM</x:v>
      </x:c>
      <x:c r="E56" s="10" t="str">
        <x:v>Rattaché à l'entité opérationnelle</x:v>
      </x:c>
      <x:c r="F56" s="10" t="str">
        <x:v>CMA CGM Group</x:v>
      </x:c>
      <x:c r="G56" s="10" t="str">
        <x:v>CMA CGM / feeder affrété</x:v>
      </x:c>
      <x:c r="H56" s="10" t="str">
        <x:v>HEINRICH EHLER</x:v>
      </x:c>
      <x:c r="I56" s="10"/>
      <x:c r="J56" s="10" t="str">
        <x:v>2026-09-13</x:v>
      </x:c>
      <x:c r="K56" s="10" t="n">
        <x:v>2026</x:v>
      </x:c>
      <x:c r="L56" s="10" t="str">
        <x:v>ATLFEED</x:v>
      </x:c>
      <x:c r="M56" s="10" t="str">
        <x:v>Le Havre</x:v>
      </x:c>
      <x:c r="N56" s="10" t="str">
        <x:v>B1</x:v>
      </x:c>
      <x:c r="O56" s="10" t="str">
        <x:v>https://www.cma-cgm.com/ebusiness/schedules/port/export?countryCode=FR&amp;portCode=FRLEH&amp;portName=LE%20HAVRE&amp;isDeparture=True&amp;fileType=pdf</x:v>
      </x:c>
      <x:c r="P56" s="10" t="str">
        <x:v>Schedule CMA CGM Le Havre.</x:v>
      </x:c>
    </x:row>
    <x:row r="57">
      <x:c r="A57" s="10" t="str">
        <x:v>G003</x:v>
      </x:c>
      <x:c r="B57" s="10" t="str">
        <x:v>G003-F03</x:v>
      </x:c>
      <x:c r="C57" s="10" t="str">
        <x:v>CMA CGM Group</x:v>
      </x:c>
      <x:c r="D57" s="10" t="str">
        <x:v>CMA CGM</x:v>
      </x:c>
      <x:c r="E57" s="10" t="str">
        <x:v>Rattaché à l'entité opérationnelle</x:v>
      </x:c>
      <x:c r="F57" s="10" t="str">
        <x:v>CMA CGM Group</x:v>
      </x:c>
      <x:c r="G57" s="10" t="str">
        <x:v>CMA CGM / feeder affrété</x:v>
      </x:c>
      <x:c r="H57" s="10" t="str">
        <x:v>VERA RAMBOW</x:v>
      </x:c>
      <x:c r="I57" s="10"/>
      <x:c r="J57" s="10" t="str">
        <x:v>2026-04-13</x:v>
      </x:c>
      <x:c r="K57" s="10" t="n">
        <x:v>2026</x:v>
      </x:c>
      <x:c r="L57" s="10" t="str">
        <x:v>ATLFEED</x:v>
      </x:c>
      <x:c r="M57" s="10" t="str">
        <x:v>Le Havre</x:v>
      </x:c>
      <x:c r="N57" s="10" t="str">
        <x:v>C</x:v>
      </x:c>
      <x:c r="O57" s="10" t="str">
        <x:v>https://www.marine-marchande.net/Jourlejour4/AujourleJour-560.html</x:v>
      </x:c>
      <x:c r="P57" s="10" t="str">
        <x:v>Feeder régulier du réseau CMA CGM.</x:v>
      </x:c>
    </x:row>
    <x:row r="58">
      <x:c r="A58" s="10" t="str">
        <x:v>G003</x:v>
      </x:c>
      <x:c r="B58" s="10" t="str">
        <x:v>G003-F03</x:v>
      </x:c>
      <x:c r="C58" s="10" t="str">
        <x:v>CMA CGM Group</x:v>
      </x:c>
      <x:c r="D58" s="10" t="str">
        <x:v>CMA CGM</x:v>
      </x:c>
      <x:c r="E58" s="10" t="str">
        <x:v>Rattaché à l'entité opérationnelle</x:v>
      </x:c>
      <x:c r="F58" s="10" t="str">
        <x:v>CMA CGM Group</x:v>
      </x:c>
      <x:c r="G58" s="10" t="str">
        <x:v>CMA CGM / navire affrété</x:v>
      </x:c>
      <x:c r="H58" s="10" t="str">
        <x:v>BUXCLIFF</x:v>
      </x:c>
      <x:c r="I58" s="10"/>
      <x:c r="J58" s="10" t="str">
        <x:v>2023-12-01</x:v>
      </x:c>
      <x:c r="K58" s="10" t="n">
        <x:v>2023</x:v>
      </x:c>
      <x:c r="L58" s="10" t="str">
        <x:v>Victory Bridge</x:v>
      </x:c>
      <x:c r="M58" s="10" t="str">
        <x:v>Le Havre</x:v>
      </x:c>
      <x:c r="N58" s="10" t="str">
        <x:v>B1</x:v>
      </x:c>
      <x:c r="O58" s="10" t="str">
        <x:v>https://www.cma-cgm.com/ebusiness/schedules/voyage/detail?voyageReference=0VBH6W1MA</x:v>
      </x:c>
      <x:c r="P58" s="10" t="str">
        <x:v>Navire affrété sur service CMA CGM.</x:v>
      </x:c>
    </x:row>
    <x:row r="59">
      <x:c r="A59" s="10" t="str">
        <x:v>G003</x:v>
      </x:c>
      <x:c r="B59" s="10" t="str">
        <x:v>G003-F03</x:v>
      </x:c>
      <x:c r="C59" s="10" t="str">
        <x:v>CMA CGM Group</x:v>
      </x:c>
      <x:c r="D59" s="10" t="str">
        <x:v>CMA CGM</x:v>
      </x:c>
      <x:c r="E59" s="10" t="str">
        <x:v>Rattaché à l'entité opérationnelle</x:v>
      </x:c>
      <x:c r="F59" s="10" t="str">
        <x:v>CMA CGM Group</x:v>
      </x:c>
      <x:c r="G59" s="10" t="str">
        <x:v>CMA CGM / navire affrété</x:v>
      </x:c>
      <x:c r="H59" s="10" t="str">
        <x:v>EM HYDRA</x:v>
      </x:c>
      <x:c r="I59" s="10" t="str">
        <x:v>9338967</x:v>
      </x:c>
      <x:c r="J59" s="10" t="str">
        <x:v>2025-07</x:v>
      </x:c>
      <x:c r="K59" s="10" t="n">
        <x:v>2025</x:v>
      </x:c>
      <x:c r="L59" s="10" t="str">
        <x:v>Service CMA CGM</x:v>
      </x:c>
      <x:c r="M59" s="10" t="str">
        <x:v>Le Havre</x:v>
      </x:c>
      <x:c r="N59" s="10" t="str">
        <x:v>C</x:v>
      </x:c>
      <x:c r="O59" s="10" t="str">
        <x:v>https://www.marine-marchande.net/Jourlejour4/AujourleJour-551.html</x:v>
      </x:c>
      <x:c r="P59" s="10" t="str">
        <x:v>Présence havraise documentée.</x:v>
      </x:c>
    </x:row>
    <x:row r="60">
      <x:c r="A60" s="10" t="str">
        <x:v>G003</x:v>
      </x:c>
      <x:c r="B60" s="10" t="str">
        <x:v>G003-F03</x:v>
      </x:c>
      <x:c r="C60" s="10" t="str">
        <x:v>CMA CGM Group</x:v>
      </x:c>
      <x:c r="D60" s="10" t="str">
        <x:v>CMA CGM</x:v>
      </x:c>
      <x:c r="E60" s="10" t="str">
        <x:v>Rattaché à l'entité opérationnelle</x:v>
      </x:c>
      <x:c r="F60" s="10" t="str">
        <x:v>CMA CGM Group</x:v>
      </x:c>
      <x:c r="G60" s="10" t="str">
        <x:v>CMA CGM / navire affrété</x:v>
      </x:c>
      <x:c r="H60" s="10" t="str">
        <x:v>KESTREL</x:v>
      </x:c>
      <x:c r="I60" s="10" t="str">
        <x:v>9626558</x:v>
      </x:c>
      <x:c r="J60" s="10" t="str">
        <x:v>2024-12-01</x:v>
      </x:c>
      <x:c r="K60" s="10" t="n">
        <x:v>2024</x:v>
      </x:c>
      <x:c r="L60" s="10" t="str">
        <x:v>Service CMA CGM</x:v>
      </x:c>
      <x:c r="M60" s="10" t="str">
        <x:v>Le Havre</x:v>
      </x:c>
      <x:c r="N60" s="10" t="str">
        <x:v>C</x:v>
      </x:c>
      <x:c r="O60" s="10" t="str">
        <x:v>https://www.marine-marchande.net/Jourlejour4/AujourleJour-543.html</x:v>
      </x:c>
      <x:c r="P60" s="10" t="str">
        <x:v>Première escale havraise documentée.</x:v>
      </x:c>
    </x:row>
    <x:row r="61">
      <x:c r="A61" s="10" t="str">
        <x:v>G003</x:v>
      </x:c>
      <x:c r="B61" s="10" t="str">
        <x:v>G003-F03</x:v>
      </x:c>
      <x:c r="C61" s="10" t="str">
        <x:v>CMA CGM Group</x:v>
      </x:c>
      <x:c r="D61" s="10" t="str">
        <x:v>CMA CGM</x:v>
      </x:c>
      <x:c r="E61" s="10" t="str">
        <x:v>Rattaché à l'entité opérationnelle</x:v>
      </x:c>
      <x:c r="F61" s="10" t="str">
        <x:v>CMA CGM Group</x:v>
      </x:c>
      <x:c r="G61" s="10" t="str">
        <x:v>CMA CGM / navire affrété</x:v>
      </x:c>
      <x:c r="H61" s="10" t="str">
        <x:v>MANDALAY</x:v>
      </x:c>
      <x:c r="I61" s="10"/>
      <x:c r="J61" s="10" t="str">
        <x:v>2024-02-03</x:v>
      </x:c>
      <x:c r="K61" s="10" t="n">
        <x:v>2024</x:v>
      </x:c>
      <x:c r="L61" s="10" t="str">
        <x:v>Panama Direct</x:v>
      </x:c>
      <x:c r="M61" s="10" t="str">
        <x:v>Le Havre</x:v>
      </x:c>
      <x:c r="N61" s="10" t="str">
        <x:v>B1</x:v>
      </x:c>
      <x:c r="O61" s="10" t="str">
        <x:v>https://www.cma-cgm.com/ebusiness/schedules/voyage/detail?voyageReference=0PGGOW1MA</x:v>
      </x:c>
      <x:c r="P61" s="10" t="str">
        <x:v>Navire affrété sur service CMA CGM.</x:v>
      </x:c>
    </x:row>
    <x:row r="62">
      <x:c r="A62" s="10" t="str">
        <x:v>G003</x:v>
      </x:c>
      <x:c r="B62" s="10" t="str">
        <x:v>G003-F03</x:v>
      </x:c>
      <x:c r="C62" s="10" t="str">
        <x:v>CMA CGM Group</x:v>
      </x:c>
      <x:c r="D62" s="10" t="str">
        <x:v>CMA CGM</x:v>
      </x:c>
      <x:c r="E62" s="10" t="str">
        <x:v>Rattaché à l'entité opérationnelle</x:v>
      </x:c>
      <x:c r="F62" s="10" t="str">
        <x:v>CMA CGM Group</x:v>
      </x:c>
      <x:c r="G62" s="10" t="str">
        <x:v>CMA CGM / navire affrété</x:v>
      </x:c>
      <x:c r="H62" s="10" t="str">
        <x:v>MATHILDE SCHULTE</x:v>
      </x:c>
      <x:c r="I62" s="10" t="str">
        <x:v>9676709</x:v>
      </x:c>
      <x:c r="J62" s="10" t="str">
        <x:v>2024-03-14</x:v>
      </x:c>
      <x:c r="K62" s="10" t="n">
        <x:v>2024</x:v>
      </x:c>
      <x:c r="L62" s="10" t="str">
        <x:v>Service CMA CGM</x:v>
      </x:c>
      <x:c r="M62" s="10" t="str">
        <x:v>Le Havre</x:v>
      </x:c>
      <x:c r="N62" s="10" t="str">
        <x:v>C</x:v>
      </x:c>
      <x:c r="O62" s="10" t="str">
        <x:v>https://www.marine-marchande.net/Jourlejour4/AujourleJour-534.html</x:v>
      </x:c>
      <x:c r="P62" s="10" t="str">
        <x:v>Mouvement portuaire daté.</x:v>
      </x:c>
    </x:row>
    <x:row r="63">
      <x:c r="A63" s="10" t="str">
        <x:v>G003</x:v>
      </x:c>
      <x:c r="B63" s="10" t="str">
        <x:v>G003-F06</x:v>
      </x:c>
      <x:c r="C63" s="10" t="str">
        <x:v>CMA CGM Group</x:v>
      </x:c>
      <x:c r="D63" s="10" t="str">
        <x:v>Containerships</x:v>
      </x:c>
      <x:c r="E63" s="10" t="str">
        <x:v>Rattaché à l'entité opérationnelle</x:v>
      </x:c>
      <x:c r="F63" s="10" t="str">
        <x:v>CMA CGM Group</x:v>
      </x:c>
      <x:c r="G63" s="10" t="str">
        <x:v>Containerships</x:v>
      </x:c>
      <x:c r="H63" s="10" t="str">
        <x:v>CONTAINERSHIPS NORD</x:v>
      </x:c>
      <x:c r="I63" s="10" t="str">
        <x:v>9813993</x:v>
      </x:c>
      <x:c r="J63" s="10" t="str">
        <x:v>2026-08-23</x:v>
      </x:c>
      <x:c r="K63" s="10" t="n">
        <x:v>2026</x:v>
      </x:c>
      <x:c r="L63" s="10" t="str">
        <x:v>Shortsea</x:v>
      </x:c>
      <x:c r="M63" s="10" t="str">
        <x:v>Le Havre</x:v>
      </x:c>
      <x:c r="N63" s="10" t="str">
        <x:v>A2</x:v>
      </x:c>
      <x:c r="O63" s="10" t="str">
        <x:v>https://www.vesselfinder.com/vessels/details/9813993</x:v>
      </x:c>
      <x:c r="P63" s="10" t="str">
        <x:v>VesselFinder : escale récente au Havre.</x:v>
      </x:c>
    </x:row>
    <x:row r="64">
      <x:c r="A64" s="10" t="str">
        <x:v>G004</x:v>
      </x:c>
      <x:c r="B64" s="10" t="str">
        <x:v>G004-F02</x:v>
      </x:c>
      <x:c r="C64" s="10" t="str">
        <x:v>COSCO Shipping Lines / COSCO Group</x:v>
      </x:c>
      <x:c r="D64" s="10" t="str">
        <x:v>COSCO Shipping Lines</x:v>
      </x:c>
      <x:c r="E64" s="10" t="str">
        <x:v>Rattaché à l'entité opérationnelle</x:v>
      </x:c>
      <x:c r="F64" s="10" t="str">
        <x:v>COSCO SHIPPING</x:v>
      </x:c>
      <x:c r="G64" s="10" t="str">
        <x:v>COSCO</x:v>
      </x:c>
      <x:c r="H64" s="10" t="str">
        <x:v>COSCO GLORY</x:v>
      </x:c>
      <x:c r="I64" s="10"/>
      <x:c r="J64" s="10" t="str">
        <x:v>2026-03-03</x:v>
      </x:c>
      <x:c r="K64" s="10" t="n">
        <x:v>2026</x:v>
      </x:c>
      <x:c r="L64" s="10" t="str">
        <x:v>Ocean Alliance</x:v>
      </x:c>
      <x:c r="M64" s="10" t="str">
        <x:v>Le Havre</x:v>
      </x:c>
      <x:c r="N64" s="10" t="str">
        <x:v>C</x:v>
      </x:c>
      <x:c r="O64" s="10" t="str">
        <x:v>https://www.marine-marchande.net/Jourlejour4/AujourleJour-558.html</x:v>
      </x:c>
      <x:c r="P64" s="10" t="str">
        <x:v>Observation portuaire datée.</x:v>
      </x:c>
    </x:row>
    <x:row r="65">
      <x:c r="A65" s="10" t="str">
        <x:v>G004</x:v>
      </x:c>
      <x:c r="B65" s="10" t="str">
        <x:v>G004-F02</x:v>
      </x:c>
      <x:c r="C65" s="10" t="str">
        <x:v>COSCO Shipping Lines / COSCO Group</x:v>
      </x:c>
      <x:c r="D65" s="10" t="str">
        <x:v>COSCO Shipping Lines</x:v>
      </x:c>
      <x:c r="E65" s="10" t="str">
        <x:v>Rattaché à l'entité opérationnelle</x:v>
      </x:c>
      <x:c r="F65" s="10" t="str">
        <x:v>COSCO SHIPPING</x:v>
      </x:c>
      <x:c r="G65" s="10" t="str">
        <x:v>COSCO</x:v>
      </x:c>
      <x:c r="H65" s="10" t="str">
        <x:v>COSCO ITALY</x:v>
      </x:c>
      <x:c r="I65" s="10"/>
      <x:c r="J65" s="10" t="str">
        <x:v>2024-10-24</x:v>
      </x:c>
      <x:c r="K65" s="10" t="n">
        <x:v>2024</x:v>
      </x:c>
      <x:c r="L65" s="10" t="str">
        <x:v>Ocean Alliance</x:v>
      </x:c>
      <x:c r="M65" s="10" t="str">
        <x:v>Le Havre</x:v>
      </x:c>
      <x:c r="N65" s="10" t="str">
        <x:v>B1</x:v>
      </x:c>
      <x:c r="O65" s="10" t="str">
        <x:v>https://www.oocl.com/korea/eng/localinformation/localnews/2024/PublishingImages/Pages/OOCL-Korea-Newsletter/OOCL%20Korea%20Newsletter%20-%20wk%2036%202024.pdf</x:v>
      </x:c>
      <x:c r="P65" s="10" t="str">
        <x:v>Schedule officiel OOCL/Ocean Alliance.</x:v>
      </x:c>
    </x:row>
    <x:row r="66">
      <x:c r="A66" s="10" t="str">
        <x:v>G004</x:v>
      </x:c>
      <x:c r="B66" s="10" t="str">
        <x:v>G004-F02</x:v>
      </x:c>
      <x:c r="C66" s="10" t="str">
        <x:v>COSCO Shipping Lines / COSCO Group</x:v>
      </x:c>
      <x:c r="D66" s="10" t="str">
        <x:v>COSCO Shipping Lines</x:v>
      </x:c>
      <x:c r="E66" s="10" t="str">
        <x:v>Rattaché à l'entité opérationnelle</x:v>
      </x:c>
      <x:c r="F66" s="10" t="str">
        <x:v>COSCO SHIPPING</x:v>
      </x:c>
      <x:c r="G66" s="10" t="str">
        <x:v>COSCO</x:v>
      </x:c>
      <x:c r="H66" s="10" t="str">
        <x:v>COSCO SHIPPING ALPS</x:v>
      </x:c>
      <x:c r="I66" s="10"/>
      <x:c r="J66" s="10" t="str">
        <x:v>2024-11-14</x:v>
      </x:c>
      <x:c r="K66" s="10" t="n">
        <x:v>2024</x:v>
      </x:c>
      <x:c r="L66" s="10" t="str">
        <x:v>Ocean Alliance</x:v>
      </x:c>
      <x:c r="M66" s="10" t="str">
        <x:v>Le Havre</x:v>
      </x:c>
      <x:c r="N66" s="10" t="str">
        <x:v>B1</x:v>
      </x:c>
      <x:c r="O66" s="10" t="str">
        <x:v>https://www.oocl.com/korea/eng/localinformation/localnews/2024/PublishingImages/Pages/OOCL-Korea-Newsletter/OOCL%20Korea%20Newsletter%20-%20wk%2036%202024.pdf</x:v>
      </x:c>
      <x:c r="P66" s="10" t="str">
        <x:v>Schedule officiel OOCL/Ocean Alliance.</x:v>
      </x:c>
    </x:row>
    <x:row r="67">
      <x:c r="A67" s="10" t="str">
        <x:v>G004</x:v>
      </x:c>
      <x:c r="B67" s="10" t="str">
        <x:v>G004-F02</x:v>
      </x:c>
      <x:c r="C67" s="10" t="str">
        <x:v>COSCO Shipping Lines / COSCO Group</x:v>
      </x:c>
      <x:c r="D67" s="10" t="str">
        <x:v>COSCO Shipping Lines</x:v>
      </x:c>
      <x:c r="E67" s="10" t="str">
        <x:v>Rattaché à l'entité opérationnelle</x:v>
      </x:c>
      <x:c r="F67" s="10" t="str">
        <x:v>COSCO SHIPPING</x:v>
      </x:c>
      <x:c r="G67" s="10" t="str">
        <x:v>COSCO</x:v>
      </x:c>
      <x:c r="H67" s="10" t="str">
        <x:v>COSCO SHIPPING VOLGA</x:v>
      </x:c>
      <x:c r="I67" s="10" t="str">
        <x:v>9731925</x:v>
      </x:c>
      <x:c r="J67" s="10" t="str">
        <x:v>2023-09-23</x:v>
      </x:c>
      <x:c r="K67" s="10" t="n">
        <x:v>2023</x:v>
      </x:c>
      <x:c r="L67" s="10" t="str">
        <x:v>Ocean Alliance</x:v>
      </x:c>
      <x:c r="M67" s="10" t="str">
        <x:v>Port 2000</x:v>
      </x:c>
      <x:c r="N67" s="10" t="str">
        <x:v>C</x:v>
      </x:c>
      <x:c r="O67" s="10" t="str">
        <x:v>https://www.marine-marchande.net/Jourlejour4/AujourleJour-529.html</x:v>
      </x:c>
      <x:c r="P67" s="10" t="str">
        <x:v>Arrivée d'Anvers documentée.</x:v>
      </x:c>
    </x:row>
    <x:row r="68">
      <x:c r="A68" s="10" t="str">
        <x:v>G004</x:v>
      </x:c>
      <x:c r="B68" s="10" t="str">
        <x:v>G004-F02</x:v>
      </x:c>
      <x:c r="C68" s="10" t="str">
        <x:v>COSCO Shipping Lines / COSCO Group</x:v>
      </x:c>
      <x:c r="D68" s="10" t="str">
        <x:v>COSCO Shipping Lines</x:v>
      </x:c>
      <x:c r="E68" s="10" t="str">
        <x:v>Rattaché à l'entité opérationnelle</x:v>
      </x:c>
      <x:c r="F68" s="10" t="str">
        <x:v>COSCO SHIPPING</x:v>
      </x:c>
      <x:c r="G68" s="10" t="str">
        <x:v>COSCO</x:v>
      </x:c>
      <x:c r="H68" s="10" t="str">
        <x:v>COSCO VIETNAM</x:v>
      </x:c>
      <x:c r="I68" s="10"/>
      <x:c r="J68" s="10" t="str">
        <x:v>2023-02-16</x:v>
      </x:c>
      <x:c r="K68" s="10" t="n">
        <x:v>2023</x:v>
      </x:c>
      <x:c r="L68" s="10" t="str">
        <x:v>Ocean Alliance</x:v>
      </x:c>
      <x:c r="M68" s="10" t="str">
        <x:v>Le Havre</x:v>
      </x:c>
      <x:c r="N68" s="10" t="str">
        <x:v>C</x:v>
      </x:c>
      <x:c r="O68" s="10" t="str">
        <x:v>https://www.marine-marchande.net/Jourlejour4/AujourleJour-521.html</x:v>
      </x:c>
      <x:c r="P68" s="10" t="str">
        <x:v>Observation portuaire datée.</x:v>
      </x:c>
    </x:row>
    <x:row r="69">
      <x:c r="A69" s="10" t="str">
        <x:v>G004</x:v>
      </x:c>
      <x:c r="B69" s="10" t="str">
        <x:v>G004-F02</x:v>
      </x:c>
      <x:c r="C69" s="10" t="str">
        <x:v>COSCO Shipping Lines / COSCO Group</x:v>
      </x:c>
      <x:c r="D69" s="10" t="str">
        <x:v>COSCO Shipping Lines</x:v>
      </x:c>
      <x:c r="E69" s="10" t="str">
        <x:v>Rattaché à l'entité opérationnelle</x:v>
      </x:c>
      <x:c r="F69" s="10" t="str">
        <x:v>COSCO SHIPPING</x:v>
      </x:c>
      <x:c r="G69" s="10" t="str">
        <x:v>COSCO</x:v>
      </x:c>
      <x:c r="H69" s="10" t="str">
        <x:v>XIN MEI ZHOU</x:v>
      </x:c>
      <x:c r="I69" s="10"/>
      <x:c r="J69" s="10" t="str">
        <x:v>2026-05-05</x:v>
      </x:c>
      <x:c r="K69" s="10" t="n">
        <x:v>2026</x:v>
      </x:c>
      <x:c r="L69" s="10" t="str">
        <x:v>Ocean Alliance</x:v>
      </x:c>
      <x:c r="M69" s="10" t="str">
        <x:v>Le Havre</x:v>
      </x:c>
      <x:c r="N69" s="10" t="str">
        <x:v>B1</x:v>
      </x:c>
      <x:c r="O69" s="10" t="str">
        <x:v>https://www.oocl.com/korea/eng/localinformation/localnews/2026/PublishingImages/Pages/OOCL-Korea-Newsletter/OOCL%20Korea%20Newsletter%20-%20Week%2011%2C%202026.pdf</x:v>
      </x:c>
      <x:c r="P69" s="10" t="str">
        <x:v>Schedule officiel OOCL/Ocean Alliance.</x:v>
      </x:c>
    </x:row>
    <x:row r="70">
      <x:c r="A70" s="10" t="str">
        <x:v>G004</x:v>
      </x:c>
      <x:c r="B70" s="10" t="str">
        <x:v>G004-F06</x:v>
      </x:c>
      <x:c r="C70" s="10" t="str">
        <x:v>COSCO Shipping Lines / COSCO Group</x:v>
      </x:c>
      <x:c r="D70" s="10" t="str">
        <x:v>OOCL</x:v>
      </x:c>
      <x:c r="E70" s="10" t="str">
        <x:v>Rattaché à l'entité opérationnelle</x:v>
      </x:c>
      <x:c r="F70" s="10" t="str">
        <x:v>COSCO SHIPPING / OOCL</x:v>
      </x:c>
      <x:c r="G70" s="10" t="str">
        <x:v>OOCL</x:v>
      </x:c>
      <x:c r="H70" s="10" t="str">
        <x:v>OOCL CHONGQING</x:v>
      </x:c>
      <x:c r="I70" s="10"/>
      <x:c r="J70" s="10" t="str">
        <x:v>2024-03-14</x:v>
      </x:c>
      <x:c r="K70" s="10" t="n">
        <x:v>2024</x:v>
      </x:c>
      <x:c r="L70" s="10" t="str">
        <x:v>Ocean Alliance</x:v>
      </x:c>
      <x:c r="M70" s="10" t="str">
        <x:v>Le Havre</x:v>
      </x:c>
      <x:c r="N70" s="10" t="str">
        <x:v>C</x:v>
      </x:c>
      <x:c r="O70" s="10" t="str">
        <x:v>https://www.marine-marchande.net/Jourlejour4/AujourleJour-534.html</x:v>
      </x:c>
      <x:c r="P70" s="10" t="str">
        <x:v>Dernière escale européenne documentée.</x:v>
      </x:c>
    </x:row>
    <x:row r="71">
      <x:c r="A71" s="10" t="str">
        <x:v>G004</x:v>
      </x:c>
      <x:c r="B71" s="10" t="str">
        <x:v>G004-F06</x:v>
      </x:c>
      <x:c r="C71" s="10" t="str">
        <x:v>COSCO Shipping Lines / COSCO Group</x:v>
      </x:c>
      <x:c r="D71" s="10" t="str">
        <x:v>OOCL</x:v>
      </x:c>
      <x:c r="E71" s="10" t="str">
        <x:v>Rattaché à l'entité opérationnelle</x:v>
      </x:c>
      <x:c r="F71" s="10" t="str">
        <x:v>COSCO SHIPPING / OOCL</x:v>
      </x:c>
      <x:c r="G71" s="10" t="str">
        <x:v>OOCL</x:v>
      </x:c>
      <x:c r="H71" s="10" t="str">
        <x:v>OOCL EGYPT</x:v>
      </x:c>
      <x:c r="I71" s="10"/>
      <x:c r="J71" s="10" t="str">
        <x:v>2024-11-07</x:v>
      </x:c>
      <x:c r="K71" s="10" t="n">
        <x:v>2024</x:v>
      </x:c>
      <x:c r="L71" s="10" t="str">
        <x:v>Ocean Alliance</x:v>
      </x:c>
      <x:c r="M71" s="10" t="str">
        <x:v>Le Havre</x:v>
      </x:c>
      <x:c r="N71" s="10" t="str">
        <x:v>B1</x:v>
      </x:c>
      <x:c r="O71" s="10" t="str">
        <x:v>https://www.oocl.com/korea/eng/localinformation/localnews/2024/PublishingImages/Pages/OOCL-Korea-Newsletter/OOCL%20Korea%20Newsletter%20-%20wk%2036%202024.pdf</x:v>
      </x:c>
      <x:c r="P71" s="10" t="str">
        <x:v>Schedule officiel OOCL.</x:v>
      </x:c>
    </x:row>
    <x:row r="72">
      <x:c r="A72" s="10" t="str">
        <x:v>G004</x:v>
      </x:c>
      <x:c r="B72" s="10" t="str">
        <x:v>G004-F06</x:v>
      </x:c>
      <x:c r="C72" s="10" t="str">
        <x:v>COSCO Shipping Lines / COSCO Group</x:v>
      </x:c>
      <x:c r="D72" s="10" t="str">
        <x:v>OOCL</x:v>
      </x:c>
      <x:c r="E72" s="10" t="str">
        <x:v>Rattaché à l'entité opérationnelle</x:v>
      </x:c>
      <x:c r="F72" s="10" t="str">
        <x:v>COSCO SHIPPING / OOCL</x:v>
      </x:c>
      <x:c r="G72" s="10" t="str">
        <x:v>OOCL</x:v>
      </x:c>
      <x:c r="H72" s="10" t="str">
        <x:v>OOCL HAMBURG</x:v>
      </x:c>
      <x:c r="I72" s="10"/>
      <x:c r="J72" s="10" t="str">
        <x:v>2026-05-20</x:v>
      </x:c>
      <x:c r="K72" s="10" t="n">
        <x:v>2026</x:v>
      </x:c>
      <x:c r="L72" s="10" t="str">
        <x:v>Ocean Alliance</x:v>
      </x:c>
      <x:c r="M72" s="10" t="str">
        <x:v>Le Havre</x:v>
      </x:c>
      <x:c r="N72" s="10" t="str">
        <x:v>B1</x:v>
      </x:c>
      <x:c r="O72" s="10" t="str">
        <x:v>https://www.oocl.com/korea/eng/localinformation/localnews/2026/PublishingImages/Pages/OOCL-Korea-Newsletter/OOCL%20Korea%20Newsletter%20-%20Week%2011%2C%202026.pdf</x:v>
      </x:c>
      <x:c r="P72" s="10" t="str">
        <x:v>Schedule officiel OOCL.</x:v>
      </x:c>
    </x:row>
    <x:row r="73">
      <x:c r="A73" s="10" t="str">
        <x:v>G004</x:v>
      </x:c>
      <x:c r="B73" s="10" t="str">
        <x:v>G004-F06</x:v>
      </x:c>
      <x:c r="C73" s="10" t="str">
        <x:v>COSCO Shipping Lines / COSCO Group</x:v>
      </x:c>
      <x:c r="D73" s="10" t="str">
        <x:v>OOCL</x:v>
      </x:c>
      <x:c r="E73" s="10" t="str">
        <x:v>Rattaché à l'entité opérationnelle</x:v>
      </x:c>
      <x:c r="F73" s="10" t="str">
        <x:v>COSCO SHIPPING / OOCL</x:v>
      </x:c>
      <x:c r="G73" s="10" t="str">
        <x:v>OOCL</x:v>
      </x:c>
      <x:c r="H73" s="10" t="str">
        <x:v>OOCL LUXEMBOURG</x:v>
      </x:c>
      <x:c r="I73" s="10"/>
      <x:c r="J73" s="10" t="str">
        <x:v>2026-04-28</x:v>
      </x:c>
      <x:c r="K73" s="10" t="n">
        <x:v>2026</x:v>
      </x:c>
      <x:c r="L73" s="10" t="str">
        <x:v>Ocean Alliance</x:v>
      </x:c>
      <x:c r="M73" s="10" t="str">
        <x:v>Le Havre</x:v>
      </x:c>
      <x:c r="N73" s="10" t="str">
        <x:v>B1</x:v>
      </x:c>
      <x:c r="O73" s="10" t="str">
        <x:v>https://www.oocl.com/korea/eng/localinformation/localnews/2026/PublishingImages/Pages/OOCL-Korea-Newsletter/OOCL%20Korea%20Newsletter%20-%20Week%2011%2C%202026.pdf</x:v>
      </x:c>
      <x:c r="P73" s="10" t="str">
        <x:v>Schedule officiel OOCL.</x:v>
      </x:c>
    </x:row>
    <x:row r="74">
      <x:c r="A74" s="10" t="str">
        <x:v>G004</x:v>
      </x:c>
      <x:c r="B74" s="10" t="str">
        <x:v>G004-F06</x:v>
      </x:c>
      <x:c r="C74" s="10" t="str">
        <x:v>COSCO Shipping Lines / COSCO Group</x:v>
      </x:c>
      <x:c r="D74" s="10" t="str">
        <x:v>OOCL</x:v>
      </x:c>
      <x:c r="E74" s="10" t="str">
        <x:v>Rattaché à l'entité opérationnelle</x:v>
      </x:c>
      <x:c r="F74" s="10" t="str">
        <x:v>COSCO SHIPPING / OOCL</x:v>
      </x:c>
      <x:c r="G74" s="10" t="str">
        <x:v>OOCL</x:v>
      </x:c>
      <x:c r="H74" s="10" t="str">
        <x:v>OOCL MALAYSIA</x:v>
      </x:c>
      <x:c r="I74" s="10"/>
      <x:c r="J74" s="10" t="str">
        <x:v>2024-10-31</x:v>
      </x:c>
      <x:c r="K74" s="10" t="n">
        <x:v>2024</x:v>
      </x:c>
      <x:c r="L74" s="10" t="str">
        <x:v>Ocean Alliance</x:v>
      </x:c>
      <x:c r="M74" s="10" t="str">
        <x:v>Le Havre</x:v>
      </x:c>
      <x:c r="N74" s="10" t="str">
        <x:v>B1</x:v>
      </x:c>
      <x:c r="O74" s="10" t="str">
        <x:v>https://www.oocl.com/korea/eng/localinformation/localnews/2024/PublishingImages/Pages/OOCL-Korea-Newsletter/OOCL%20Korea%20Newsletter%20-%20wk%2036%202024.pdf</x:v>
      </x:c>
      <x:c r="P74" s="10" t="str">
        <x:v>Schedule officiel OOCL.</x:v>
      </x:c>
    </x:row>
    <x:row r="75">
      <x:c r="A75" s="10" t="str">
        <x:v>G004</x:v>
      </x:c>
      <x:c r="B75" s="10" t="str">
        <x:v>G004-F06</x:v>
      </x:c>
      <x:c r="C75" s="10" t="str">
        <x:v>COSCO Shipping Lines / COSCO Group</x:v>
      </x:c>
      <x:c r="D75" s="10" t="str">
        <x:v>OOCL</x:v>
      </x:c>
      <x:c r="E75" s="10" t="str">
        <x:v>Rattaché à l'entité opérationnelle</x:v>
      </x:c>
      <x:c r="F75" s="10" t="str">
        <x:v>COSCO SHIPPING / OOCL</x:v>
      </x:c>
      <x:c r="G75" s="10" t="str">
        <x:v>OOCL</x:v>
      </x:c>
      <x:c r="H75" s="10" t="str">
        <x:v>OOCL SHANGHAI</x:v>
      </x:c>
      <x:c r="I75" s="10"/>
      <x:c r="J75" s="10" t="str">
        <x:v>2026-05-07</x:v>
      </x:c>
      <x:c r="K75" s="10" t="n">
        <x:v>2026</x:v>
      </x:c>
      <x:c r="L75" s="10" t="str">
        <x:v>Ocean Alliance</x:v>
      </x:c>
      <x:c r="M75" s="10" t="str">
        <x:v>Le Havre</x:v>
      </x:c>
      <x:c r="N75" s="10" t="str">
        <x:v>B1</x:v>
      </x:c>
      <x:c r="O75" s="10" t="str">
        <x:v>https://www.oocl.com/korea/eng/localinformation/localnews/2026/PublishingImages/Pages/OOCL-Korea-Newsletter/OOCL%20Korea%20Newsletter%20-%20Week%2011%2C%202026.pdf</x:v>
      </x:c>
      <x:c r="P75" s="10" t="str">
        <x:v>Schedule officiel OOCL.</x:v>
      </x:c>
    </x:row>
    <x:row r="76">
      <x:c r="A76" s="10" t="str">
        <x:v>G004</x:v>
      </x:c>
      <x:c r="B76" s="10" t="str">
        <x:v>G004-F06</x:v>
      </x:c>
      <x:c r="C76" s="10" t="str">
        <x:v>COSCO Shipping Lines / COSCO Group</x:v>
      </x:c>
      <x:c r="D76" s="10" t="str">
        <x:v>OOCL</x:v>
      </x:c>
      <x:c r="E76" s="10" t="str">
        <x:v>Rattaché à l'entité opérationnelle</x:v>
      </x:c>
      <x:c r="F76" s="10" t="str">
        <x:v>COSCO SHIPPING / OOCL</x:v>
      </x:c>
      <x:c r="G76" s="10" t="str">
        <x:v>OOCL</x:v>
      </x:c>
      <x:c r="H76" s="10" t="str">
        <x:v>OOCL ST. LAWRENCE</x:v>
      </x:c>
      <x:c r="I76" s="10"/>
      <x:c r="J76" s="10" t="str">
        <x:v>2024-07-04</x:v>
      </x:c>
      <x:c r="K76" s="10" t="n">
        <x:v>2024</x:v>
      </x:c>
      <x:c r="L76" s="10" t="str">
        <x:v>Ocean Alliance</x:v>
      </x:c>
      <x:c r="M76" s="10" t="str">
        <x:v>Le Havre</x:v>
      </x:c>
      <x:c r="N76" s="10" t="str">
        <x:v>C</x:v>
      </x:c>
      <x:c r="O76" s="10" t="str">
        <x:v>https://www.marine-marchande.net/Jourlejour4/AujourleJour-539.html</x:v>
      </x:c>
      <x:c r="P76" s="10" t="str">
        <x:v>Arrivée de Bremerhaven documentée.</x:v>
      </x:c>
    </x:row>
    <x:row r="77">
      <x:c r="A77" s="10" t="str">
        <x:v>G004</x:v>
      </x:c>
      <x:c r="B77" s="10" t="str">
        <x:v>G004-F06</x:v>
      </x:c>
      <x:c r="C77" s="10" t="str">
        <x:v>COSCO Shipping Lines / COSCO Group</x:v>
      </x:c>
      <x:c r="D77" s="10" t="str">
        <x:v>OOCL</x:v>
      </x:c>
      <x:c r="E77" s="10" t="str">
        <x:v>Rattaché à l'entité opérationnelle</x:v>
      </x:c>
      <x:c r="F77" s="10" t="str">
        <x:v>COSCO SHIPPING / OOCL</x:v>
      </x:c>
      <x:c r="G77" s="10" t="str">
        <x:v>OOCL</x:v>
      </x:c>
      <x:c r="H77" s="10" t="str">
        <x:v>OOCL TAIPEI</x:v>
      </x:c>
      <x:c r="I77" s="10"/>
      <x:c r="J77" s="10" t="str">
        <x:v>2026-04-21</x:v>
      </x:c>
      <x:c r="K77" s="10" t="n">
        <x:v>2026</x:v>
      </x:c>
      <x:c r="L77" s="10" t="str">
        <x:v>Ocean Alliance</x:v>
      </x:c>
      <x:c r="M77" s="10" t="str">
        <x:v>Le Havre</x:v>
      </x:c>
      <x:c r="N77" s="10" t="str">
        <x:v>B1</x:v>
      </x:c>
      <x:c r="O77" s="10" t="str">
        <x:v>https://www.oocl.com/korea/eng/localinformation/localnews/2026/PublishingImages/Pages/OOCL-Korea-Newsletter/OOCL%20Korea%20Newsletter%20-%20Week%2011%2C%202026.pdf</x:v>
      </x:c>
      <x:c r="P77" s="10" t="str">
        <x:v>Schedule officiel OOCL.</x:v>
      </x:c>
    </x:row>
    <x:row r="78">
      <x:c r="A78" s="10" t="str">
        <x:v>G004</x:v>
      </x:c>
      <x:c r="B78" s="10" t="str">
        <x:v>G004-F06</x:v>
      </x:c>
      <x:c r="C78" s="10" t="str">
        <x:v>COSCO Shipping Lines / COSCO Group</x:v>
      </x:c>
      <x:c r="D78" s="10" t="str">
        <x:v>OOCL</x:v>
      </x:c>
      <x:c r="E78" s="10" t="str">
        <x:v>Rattaché à l'entité opérationnelle</x:v>
      </x:c>
      <x:c r="F78" s="10" t="str">
        <x:v>COSCO SHIPPING / OOCL</x:v>
      </x:c>
      <x:c r="G78" s="10" t="str">
        <x:v>Ocean Alliance / navire affrété</x:v>
      </x:c>
      <x:c r="H78" s="10" t="str">
        <x:v>ALS JUNO</x:v>
      </x:c>
      <x:c r="I78" s="10"/>
      <x:c r="J78" s="10" t="str">
        <x:v>2026-05-14</x:v>
      </x:c>
      <x:c r="K78" s="10" t="n">
        <x:v>2026</x:v>
      </x:c>
      <x:c r="L78" s="10" t="str">
        <x:v>Ocean Alliance</x:v>
      </x:c>
      <x:c r="M78" s="10" t="str">
        <x:v>Le Havre</x:v>
      </x:c>
      <x:c r="N78" s="10" t="str">
        <x:v>B1</x:v>
      </x:c>
      <x:c r="O78" s="10" t="str">
        <x:v>https://www.oocl.com/korea/eng/localinformation/localnews/2026/PublishingImages/Pages/OOCL-Korea-Newsletter/OOCL%20Korea%20Newsletter%20-%20Week%2011%2C%202026.pdf</x:v>
      </x:c>
      <x:c r="P78" s="10" t="str">
        <x:v>Navire affrété apparaissant sur schedule officiel OOCL.</x:v>
      </x:c>
    </x:row>
    <x:row r="79">
      <x:c r="A79" s="10" t="str">
        <x:v>G004</x:v>
      </x:c>
      <x:c r="B79" s="10" t="str">
        <x:v>G004-F06</x:v>
      </x:c>
      <x:c r="C79" s="10" t="str">
        <x:v>COSCO Shipping Lines / COSCO Group</x:v>
      </x:c>
      <x:c r="D79" s="10" t="str">
        <x:v>OOCL</x:v>
      </x:c>
      <x:c r="E79" s="10" t="str">
        <x:v>Rattaché à l'entité opérationnelle</x:v>
      </x:c>
      <x:c r="F79" s="10" t="str">
        <x:v>COSCO SHIPPING / OOCL</x:v>
      </x:c>
      <x:c r="G79" s="10" t="str">
        <x:v>Ocean Alliance / navire affrété</x:v>
      </x:c>
      <x:c r="H79" s="10" t="str">
        <x:v>PELION</x:v>
      </x:c>
      <x:c r="I79" s="10"/>
      <x:c r="J79" s="10" t="str">
        <x:v>2026-04-24</x:v>
      </x:c>
      <x:c r="K79" s="10" t="n">
        <x:v>2026</x:v>
      </x:c>
      <x:c r="L79" s="10" t="str">
        <x:v>Ocean Alliance</x:v>
      </x:c>
      <x:c r="M79" s="10" t="str">
        <x:v>Le Havre</x:v>
      </x:c>
      <x:c r="N79" s="10" t="str">
        <x:v>B1</x:v>
      </x:c>
      <x:c r="O79" s="10" t="str">
        <x:v>https://www.oocl.com/korea/eng/localinformation/localnews/2026/PublishingImages/Pages/OOCL-Korea-Newsletter/OOCL%20Korea%20Newsletter%20-%20Week%2011%2C%202026.pdf</x:v>
      </x:c>
      <x:c r="P79" s="10" t="str">
        <x:v>Navire affrété apparaissant sur schedule officiel OOCL.</x:v>
      </x:c>
    </x:row>
    <x:row r="80">
      <x:c r="A80" s="10" t="str">
        <x:v>G007</x:v>
      </x:c>
      <x:c r="B80" s="10" t="str">
        <x:v>G007-F01</x:v>
      </x:c>
      <x:c r="C80" s="10" t="str">
        <x:v>Evergreen Marine / Evergreen Line</x:v>
      </x:c>
      <x:c r="D80" s="10" t="str">
        <x:v>Evergreen Line</x:v>
      </x:c>
      <x:c r="E80" s="10" t="str">
        <x:v>Rattaché à l'entité opérationnelle</x:v>
      </x:c>
      <x:c r="F80" s="10" t="str">
        <x:v>Evergreen</x:v>
      </x:c>
      <x:c r="G80" s="10" t="str">
        <x:v>Evergreen</x:v>
      </x:c>
      <x:c r="H80" s="10" t="str">
        <x:v>EVER FAME</x:v>
      </x:c>
      <x:c r="I80" s="10" t="str">
        <x:v>9850800</x:v>
      </x:c>
      <x:c r="J80" s="10" t="str">
        <x:v>2023-09-19</x:v>
      </x:c>
      <x:c r="K80" s="10" t="n">
        <x:v>2023</x:v>
      </x:c>
      <x:c r="L80" s="10" t="str">
        <x:v>Ocean Alliance</x:v>
      </x:c>
      <x:c r="M80" s="10" t="str">
        <x:v>Le Havre</x:v>
      </x:c>
      <x:c r="N80" s="10" t="str">
        <x:v>C</x:v>
      </x:c>
      <x:c r="O80" s="10" t="str">
        <x:v>https://www.marine-marchande.net/Jourlejour4/AujourleJour-529.html</x:v>
      </x:c>
      <x:c r="P80" s="10" t="str">
        <x:v>Fin de rotation Europe et départ vers New York documentés.</x:v>
      </x:c>
    </x:row>
    <x:row r="81">
      <x:c r="A81" s="10" t="str">
        <x:v>G007</x:v>
      </x:c>
      <x:c r="B81" s="10" t="str">
        <x:v>G007-F01</x:v>
      </x:c>
      <x:c r="C81" s="10" t="str">
        <x:v>Evergreen Marine / Evergreen Line</x:v>
      </x:c>
      <x:c r="D81" s="10" t="str">
        <x:v>Evergreen Line</x:v>
      </x:c>
      <x:c r="E81" s="10" t="str">
        <x:v>Rattaché à l'entité opérationnelle</x:v>
      </x:c>
      <x:c r="F81" s="10" t="str">
        <x:v>Evergreen</x:v>
      </x:c>
      <x:c r="G81" s="10" t="str">
        <x:v>Evergreen</x:v>
      </x:c>
      <x:c r="H81" s="10" t="str">
        <x:v>EVER FOREVER</x:v>
      </x:c>
      <x:c r="I81" s="10"/>
      <x:c r="J81" s="10" t="str">
        <x:v>2025-04-21</x:v>
      </x:c>
      <x:c r="K81" s="10" t="n">
        <x:v>2025</x:v>
      </x:c>
      <x:c r="L81" s="10" t="str">
        <x:v>TAE</x:v>
      </x:c>
      <x:c r="M81" s="10" t="str">
        <x:v>Le Havre</x:v>
      </x:c>
      <x:c r="N81" s="10" t="str">
        <x:v>A1</x:v>
      </x:c>
      <x:c r="O81" s="10" t="str">
        <x:v>https://www.haropaport.com/fr/actualites/le-ever-forever-en-escale-inaugurale-au-havre</x:v>
      </x:c>
      <x:c r="P81" s="10" t="str">
        <x:v>Escale inaugurale officielle.</x:v>
      </x:c>
    </x:row>
    <x:row r="82">
      <x:c r="A82" s="10" t="str">
        <x:v>G007</x:v>
      </x:c>
      <x:c r="B82" s="10" t="str">
        <x:v>G007-F01</x:v>
      </x:c>
      <x:c r="C82" s="10" t="str">
        <x:v>Evergreen Marine / Evergreen Line</x:v>
      </x:c>
      <x:c r="D82" s="10" t="str">
        <x:v>Evergreen Line</x:v>
      </x:c>
      <x:c r="E82" s="10" t="str">
        <x:v>Rattaché à l'entité opérationnelle</x:v>
      </x:c>
      <x:c r="F82" s="10" t="str">
        <x:v>Evergreen</x:v>
      </x:c>
      <x:c r="G82" s="10" t="str">
        <x:v>Evergreen</x:v>
      </x:c>
      <x:c r="H82" s="10" t="str">
        <x:v>EVER LIVING</x:v>
      </x:c>
      <x:c r="I82" s="10"/>
      <x:c r="J82" s="10" t="str">
        <x:v>2024-05</x:v>
      </x:c>
      <x:c r="K82" s="10" t="n">
        <x:v>2024</x:v>
      </x:c>
      <x:c r="L82" s="10" t="str">
        <x:v>Ocean Alliance</x:v>
      </x:c>
      <x:c r="M82" s="10" t="str">
        <x:v>Le Havre</x:v>
      </x:c>
      <x:c r="N82" s="10" t="str">
        <x:v>C</x:v>
      </x:c>
      <x:c r="O82" s="10" t="str">
        <x:v>https://www.marine-marchande.net/Jourlejour4/AujourleJour-537.html</x:v>
      </x:c>
      <x:c r="P82" s="10" t="str">
        <x:v>Départ du Havre vers les États-Unis documenté.</x:v>
      </x:c>
    </x:row>
    <x:row r="83">
      <x:c r="A83" s="10" t="str">
        <x:v>G007</x:v>
      </x:c>
      <x:c r="B83" s="10" t="str">
        <x:v>G007-F01</x:v>
      </x:c>
      <x:c r="C83" s="10" t="str">
        <x:v>Evergreen Marine / Evergreen Line</x:v>
      </x:c>
      <x:c r="D83" s="10" t="str">
        <x:v>Evergreen Line</x:v>
      </x:c>
      <x:c r="E83" s="10" t="str">
        <x:v>Rattaché à l'entité opérationnelle</x:v>
      </x:c>
      <x:c r="F83" s="10" t="str">
        <x:v>Evergreen</x:v>
      </x:c>
      <x:c r="G83" s="10" t="str">
        <x:v>Evergreen</x:v>
      </x:c>
      <x:c r="H83" s="10" t="str">
        <x:v>EVER SMILE</x:v>
      </x:c>
      <x:c r="I83" s="10" t="str">
        <x:v>9300415</x:v>
      </x:c>
      <x:c r="J83" s="10" t="str">
        <x:v>2025-03-04</x:v>
      </x:c>
      <x:c r="K83" s="10" t="n">
        <x:v>2025</x:v>
      </x:c>
      <x:c r="L83" s="10" t="str">
        <x:v>Ocean Alliance</x:v>
      </x:c>
      <x:c r="M83" s="10" t="str">
        <x:v>Port 2000</x:v>
      </x:c>
      <x:c r="N83" s="10" t="str">
        <x:v>C</x:v>
      </x:c>
      <x:c r="O83" s="10" t="str">
        <x:v>https://www.marine-marchande.net/Jourlejour4/AujourleJour-547.html</x:v>
      </x:c>
      <x:c r="P83" s="10" t="str">
        <x:v>Présence havraise documentée.</x:v>
      </x:c>
    </x:row>
    <x:row r="84">
      <x:c r="A84" s="10" t="str">
        <x:v>G008</x:v>
      </x:c>
      <x:c r="B84" s="10" t="str">
        <x:v>G008</x:v>
      </x:c>
      <x:c r="C84" s="10" t="str">
        <x:v>HMM</x:v>
      </x:c>
      <x:c r="D84" s="10" t="str">
        <x:v>HMM</x:v>
      </x:c>
      <x:c r="E84" s="10" t="str">
        <x:v>Rattaché à l'entité opérationnelle</x:v>
      </x:c>
      <x:c r="F84" s="10" t="str">
        <x:v>HMM</x:v>
      </x:c>
      <x:c r="G84" s="10" t="str">
        <x:v>HMM</x:v>
      </x:c>
      <x:c r="H84" s="10" t="str">
        <x:v>HMM HANBADA</x:v>
      </x:c>
      <x:c r="I84" s="10"/>
      <x:c r="J84" s="10" t="str">
        <x:v>2024-09-07</x:v>
      </x:c>
      <x:c r="K84" s="10" t="n">
        <x:v>2024</x:v>
      </x:c>
      <x:c r="L84" s="10" t="str">
        <x:v>THE Alliance</x:v>
      </x:c>
      <x:c r="M84" s="10" t="str">
        <x:v>Le Havre</x:v>
      </x:c>
      <x:c r="N84" s="10" t="str">
        <x:v>C</x:v>
      </x:c>
      <x:c r="O84" s="10" t="str">
        <x:v>https://www.scribd.com/document/754984822/SCHEDULES-LE-HAVRE-BUSAN-AOUT-2024</x:v>
      </x:c>
      <x:c r="P84" s="10" t="str">
        <x:v>Schedule commercial Le Havre–Busan.</x:v>
      </x:c>
    </x:row>
    <x:row r="85">
      <x:c r="A85" s="10" t="str">
        <x:v>G008</x:v>
      </x:c>
      <x:c r="B85" s="10" t="str">
        <x:v>G008</x:v>
      </x:c>
      <x:c r="C85" s="10" t="str">
        <x:v>HMM</x:v>
      </x:c>
      <x:c r="D85" s="10" t="str">
        <x:v>HMM</x:v>
      </x:c>
      <x:c r="E85" s="10" t="str">
        <x:v>Rattaché à l'entité opérationnelle</x:v>
      </x:c>
      <x:c r="F85" s="10" t="str">
        <x:v>HMM</x:v>
      </x:c>
      <x:c r="G85" s="10" t="str">
        <x:v>HMM</x:v>
      </x:c>
      <x:c r="H85" s="10" t="str">
        <x:v>HMM OSLO</x:v>
      </x:c>
      <x:c r="I85" s="10"/>
      <x:c r="J85" s="10" t="str">
        <x:v>2025-04-27</x:v>
      </x:c>
      <x:c r="K85" s="10" t="n">
        <x:v>2025</x:v>
      </x:c>
      <x:c r="L85" s="10" t="str">
        <x:v>FE4 / Premier Alliance</x:v>
      </x:c>
      <x:c r="M85" s="10" t="str">
        <x:v>Terminal de France</x:v>
      </x:c>
      <x:c r="N85" s="10" t="str">
        <x:v>A1</x:v>
      </x:c>
      <x:c r="O85" s="10" t="str">
        <x:v>https://www.haropaport.com/fr/actualites/haropa-port-accueille-le-nouveau-service-asie-europe-de-lalliance-premier</x:v>
      </x:c>
      <x:c r="P85" s="10" t="str">
        <x:v>Premier navire du nouveau service FE4.</x:v>
      </x:c>
    </x:row>
    <x:row r="86">
      <x:c r="A86" s="10" t="str">
        <x:v>G008</x:v>
      </x:c>
      <x:c r="B86" s="10" t="str">
        <x:v>G008</x:v>
      </x:c>
      <x:c r="C86" s="10" t="str">
        <x:v>HMM</x:v>
      </x:c>
      <x:c r="D86" s="10" t="str">
        <x:v>HMM</x:v>
      </x:c>
      <x:c r="E86" s="10" t="str">
        <x:v>Rattaché à l'entité opérationnelle</x:v>
      </x:c>
      <x:c r="F86" s="10" t="str">
        <x:v>HMM</x:v>
      </x:c>
      <x:c r="G86" s="10" t="str">
        <x:v>HMM</x:v>
      </x:c>
      <x:c r="H86" s="10" t="str">
        <x:v>HMM SOUTHAMPTON</x:v>
      </x:c>
      <x:c r="I86" s="10"/>
      <x:c r="J86" s="10" t="str">
        <x:v>2026-05-02</x:v>
      </x:c>
      <x:c r="K86" s="10" t="n">
        <x:v>2026</x:v>
      </x:c>
      <x:c r="L86" s="10" t="str">
        <x:v>Premier Alliance</x:v>
      </x:c>
      <x:c r="M86" s="10" t="str">
        <x:v>Le Havre</x:v>
      </x:c>
      <x:c r="N86" s="10" t="str">
        <x:v>B1</x:v>
      </x:c>
      <x:c r="O86" s="10" t="str">
        <x:v>https://ch.one-line.com/sites/g/files/lnzjqr2191/files/schedules/2026-02/Europe%20Schedule.pdf</x:v>
      </x:c>
      <x:c r="P86" s="10" t="str">
        <x:v>ETA Le Havre publiée sur schedule officiel ONE.</x:v>
      </x:c>
    </x:row>
    <x:row r="87">
      <x:c r="A87" s="10" t="str">
        <x:v>G005</x:v>
      </x:c>
      <x:c r="B87" s="10" t="str">
        <x:v>G005</x:v>
      </x:c>
      <x:c r="C87" s="10" t="str">
        <x:v>Hapag-Lloyd</x:v>
      </x:c>
      <x:c r="D87" s="10" t="str">
        <x:v>Hapag-Lloyd</x:v>
      </x:c>
      <x:c r="E87" s="10" t="str">
        <x:v>Rattaché à l'entité opérationnelle</x:v>
      </x:c>
      <x:c r="F87" s="10" t="str">
        <x:v>Hapag-Lloyd</x:v>
      </x:c>
      <x:c r="G87" s="10" t="str">
        <x:v>Hapag-Lloyd</x:v>
      </x:c>
      <x:c r="H87" s="10" t="str">
        <x:v>AL MANAMAH</x:v>
      </x:c>
      <x:c r="I87" s="10" t="str">
        <x:v>9349538</x:v>
      </x:c>
      <x:c r="J87" s="10" t="str">
        <x:v>2024-06</x:v>
      </x:c>
      <x:c r="K87" s="10" t="n">
        <x:v>2024</x:v>
      </x:c>
      <x:c r="L87" s="10" t="str">
        <x:v>Service Hapag-Lloyd</x:v>
      </x:c>
      <x:c r="M87" s="10" t="str">
        <x:v>Le Havre</x:v>
      </x:c>
      <x:c r="N87" s="10" t="str">
        <x:v>C</x:v>
      </x:c>
      <x:c r="O87" s="10" t="str">
        <x:v>https://www.marine-marchande.net/Jourlejour4/AujourleJour-537.html</x:v>
      </x:c>
      <x:c r="P87" s="10" t="str">
        <x:v>Arrivée de Houston documentée.</x:v>
      </x:c>
    </x:row>
    <x:row r="88">
      <x:c r="A88" s="10" t="str">
        <x:v>G005</x:v>
      </x:c>
      <x:c r="B88" s="10" t="str">
        <x:v>G005</x:v>
      </x:c>
      <x:c r="C88" s="10" t="str">
        <x:v>Hapag-Lloyd</x:v>
      </x:c>
      <x:c r="D88" s="10" t="str">
        <x:v>Hapag-Lloyd</x:v>
      </x:c>
      <x:c r="E88" s="10" t="str">
        <x:v>Rattaché à l'entité opérationnelle</x:v>
      </x:c>
      <x:c r="F88" s="10" t="str">
        <x:v>Hapag-Lloyd</x:v>
      </x:c>
      <x:c r="G88" s="10" t="str">
        <x:v>Hapag-Lloyd</x:v>
      </x:c>
      <x:c r="H88" s="10" t="str">
        <x:v>AL MURAYKH</x:v>
      </x:c>
      <x:c r="I88" s="10"/>
      <x:c r="J88" s="10" t="str">
        <x:v>2023-07-27</x:v>
      </x:c>
      <x:c r="K88" s="10" t="n">
        <x:v>2023</x:v>
      </x:c>
      <x:c r="L88" s="10" t="str">
        <x:v>THE Alliance</x:v>
      </x:c>
      <x:c r="M88" s="10" t="str">
        <x:v>Le Havre</x:v>
      </x:c>
      <x:c r="N88" s="10" t="str">
        <x:v>B1</x:v>
      </x:c>
      <x:c r="O88" s="10" t="str">
        <x:v>https://ch.one-line.com/sites/g/files/lnzjqr2191/files/schedules/2023-07/Europe%20Schedule.pdf</x:v>
      </x:c>
      <x:c r="P88" s="10" t="str">
        <x:v>Schedule officiel de partenaire d'alliance.</x:v>
      </x:c>
    </x:row>
    <x:row r="89">
      <x:c r="A89" s="10" t="str">
        <x:v>G005</x:v>
      </x:c>
      <x:c r="B89" s="10" t="str">
        <x:v>G005</x:v>
      </x:c>
      <x:c r="C89" s="10" t="str">
        <x:v>Hapag-Lloyd</x:v>
      </x:c>
      <x:c r="D89" s="10" t="str">
        <x:v>Hapag-Lloyd</x:v>
      </x:c>
      <x:c r="E89" s="10" t="str">
        <x:v>Rattaché à l'entité opérationnelle</x:v>
      </x:c>
      <x:c r="F89" s="10" t="str">
        <x:v>Hapag-Lloyd</x:v>
      </x:c>
      <x:c r="G89" s="10" t="str">
        <x:v>Hapag-Lloyd</x:v>
      </x:c>
      <x:c r="H89" s="10" t="str">
        <x:v>AL NEFUD</x:v>
      </x:c>
      <x:c r="I89" s="10"/>
      <x:c r="J89" s="10" t="str">
        <x:v>2024-01-26</x:v>
      </x:c>
      <x:c r="K89" s="10" t="n">
        <x:v>2024</x:v>
      </x:c>
      <x:c r="L89" s="10" t="str">
        <x:v>THE Alliance</x:v>
      </x:c>
      <x:c r="M89" s="10" t="str">
        <x:v>Le Havre</x:v>
      </x:c>
      <x:c r="N89" s="10" t="str">
        <x:v>B1</x:v>
      </x:c>
      <x:c r="O89" s="10" t="str">
        <x:v>https://ch.one-line.com/sites/g/files/lnzjqr2191/files/schedules/2024-11/VSL-Schedule-Dec-2024.pdf</x:v>
      </x:c>
      <x:c r="P89" s="10" t="str">
        <x:v>Schedule officiel partenaire.</x:v>
      </x:c>
    </x:row>
    <x:row r="90">
      <x:c r="A90" s="10" t="str">
        <x:v>G005</x:v>
      </x:c>
      <x:c r="B90" s="10" t="str">
        <x:v>G005</x:v>
      </x:c>
      <x:c r="C90" s="10" t="str">
        <x:v>Hapag-Lloyd</x:v>
      </x:c>
      <x:c r="D90" s="10" t="str">
        <x:v>Hapag-Lloyd</x:v>
      </x:c>
      <x:c r="E90" s="10" t="str">
        <x:v>Rattaché à l'entité opérationnelle</x:v>
      </x:c>
      <x:c r="F90" s="10" t="str">
        <x:v>Hapag-Lloyd</x:v>
      </x:c>
      <x:c r="G90" s="10" t="str">
        <x:v>Hapag-Lloyd</x:v>
      </x:c>
      <x:c r="H90" s="10" t="str">
        <x:v>AL ZUBARA</x:v>
      </x:c>
      <x:c r="I90" s="10" t="str">
        <x:v>9708875</x:v>
      </x:c>
      <x:c r="J90" s="10" t="str">
        <x:v>2024-08-17</x:v>
      </x:c>
      <x:c r="K90" s="10" t="n">
        <x:v>2024</x:v>
      </x:c>
      <x:c r="L90" s="10" t="str">
        <x:v>Asie-Europe</x:v>
      </x:c>
      <x:c r="M90" s="10" t="str">
        <x:v>Le Havre</x:v>
      </x:c>
      <x:c r="N90" s="10" t="str">
        <x:v>C</x:v>
      </x:c>
      <x:c r="O90" s="10" t="str">
        <x:v>https://www.scribd.com/document/754984822/SCHEDULES-LE-HAVRE-BUSAN-AOUT-2024</x:v>
      </x:c>
      <x:c r="P90" s="10" t="str">
        <x:v>Schedule commercial Le Havre–Busan.</x:v>
      </x:c>
    </x:row>
    <x:row r="91">
      <x:c r="A91" s="10" t="str">
        <x:v>G005</x:v>
      </x:c>
      <x:c r="B91" s="10" t="str">
        <x:v>G005</x:v>
      </x:c>
      <x:c r="C91" s="10" t="str">
        <x:v>Hapag-Lloyd</x:v>
      </x:c>
      <x:c r="D91" s="10" t="str">
        <x:v>Hapag-Lloyd</x:v>
      </x:c>
      <x:c r="E91" s="10" t="str">
        <x:v>Rattaché à l'entité opérationnelle</x:v>
      </x:c>
      <x:c r="F91" s="10" t="str">
        <x:v>Hapag-Lloyd</x:v>
      </x:c>
      <x:c r="G91" s="10" t="str">
        <x:v>Hapag-Lloyd</x:v>
      </x:c>
      <x:c r="H91" s="10" t="str">
        <x:v>BARZAN</x:v>
      </x:c>
      <x:c r="I91" s="10"/>
      <x:c r="J91" s="10" t="str">
        <x:v>2024-08-28</x:v>
      </x:c>
      <x:c r="K91" s="10" t="n">
        <x:v>2024</x:v>
      </x:c>
      <x:c r="L91" s="10" t="str">
        <x:v>Asie-Europe</x:v>
      </x:c>
      <x:c r="M91" s="10" t="str">
        <x:v>Le Havre</x:v>
      </x:c>
      <x:c r="N91" s="10" t="str">
        <x:v>C</x:v>
      </x:c>
      <x:c r="O91" s="10" t="str">
        <x:v>https://www.scribd.com/document/754984822/SCHEDULES-LE-HAVRE-BUSAN-AOUT-2024</x:v>
      </x:c>
      <x:c r="P91" s="10" t="str">
        <x:v>Schedule commercial Le Havre–Busan.</x:v>
      </x:c>
    </x:row>
    <x:row r="92">
      <x:c r="A92" s="10" t="str">
        <x:v>G005</x:v>
      </x:c>
      <x:c r="B92" s="10" t="str">
        <x:v>G005</x:v>
      </x:c>
      <x:c r="C92" s="10" t="str">
        <x:v>Hapag-Lloyd</x:v>
      </x:c>
      <x:c r="D92" s="10" t="str">
        <x:v>Hapag-Lloyd</x:v>
      </x:c>
      <x:c r="E92" s="10" t="str">
        <x:v>Rattaché à l'entité opérationnelle</x:v>
      </x:c>
      <x:c r="F92" s="10" t="str">
        <x:v>Hapag-Lloyd</x:v>
      </x:c>
      <x:c r="G92" s="10" t="str">
        <x:v>Hapag-Lloyd</x:v>
      </x:c>
      <x:c r="H92" s="10" t="str">
        <x:v>CHENNAI EXPRESS</x:v>
      </x:c>
      <x:c r="I92" s="10"/>
      <x:c r="J92" s="10" t="str">
        <x:v>2024-07</x:v>
      </x:c>
      <x:c r="K92" s="10" t="n">
        <x:v>2024</x:v>
      </x:c>
      <x:c r="L92" s="10" t="str">
        <x:v>Service Hapag-Lloyd</x:v>
      </x:c>
      <x:c r="M92" s="10" t="str">
        <x:v>Le Havre</x:v>
      </x:c>
      <x:c r="N92" s="10" t="str">
        <x:v>C</x:v>
      </x:c>
      <x:c r="O92" s="10" t="str">
        <x:v>https://www.marine-marchande.net/Jourlejour4/AujourleJour-539.html</x:v>
      </x:c>
      <x:c r="P92" s="10" t="str">
        <x:v>Présence havraise documentée.</x:v>
      </x:c>
    </x:row>
    <x:row r="93">
      <x:c r="A93" s="10" t="str">
        <x:v>G005</x:v>
      </x:c>
      <x:c r="B93" s="10" t="str">
        <x:v>G005</x:v>
      </x:c>
      <x:c r="C93" s="10" t="str">
        <x:v>Hapag-Lloyd</x:v>
      </x:c>
      <x:c r="D93" s="10" t="str">
        <x:v>Hapag-Lloyd</x:v>
      </x:c>
      <x:c r="E93" s="10" t="str">
        <x:v>Rattaché à l'entité opérationnelle</x:v>
      </x:c>
      <x:c r="F93" s="10" t="str">
        <x:v>Hapag-Lloyd</x:v>
      </x:c>
      <x:c r="G93" s="10" t="str">
        <x:v>Hapag-Lloyd</x:v>
      </x:c>
      <x:c r="H93" s="10" t="str">
        <x:v>GUAYAQUIL EXPRESS</x:v>
      </x:c>
      <x:c r="I93" s="10"/>
      <x:c r="J93" s="10" t="str">
        <x:v>2023-09-02</x:v>
      </x:c>
      <x:c r="K93" s="10" t="n">
        <x:v>2023</x:v>
      </x:c>
      <x:c r="L93" s="10" t="str">
        <x:v>SWX / EUROSAL</x:v>
      </x:c>
      <x:c r="M93" s="10" t="str">
        <x:v>Terminal des Amériques</x:v>
      </x:c>
      <x:c r="N93" s="10" t="str">
        <x:v>B2</x:v>
      </x:c>
      <x:c r="O93" s="10" t="str">
        <x:v>https://container-news.com/cma-cgms-eurosal-line-returns-to-france/</x:v>
      </x:c>
      <x:c r="P93" s="10" t="str">
        <x:v>Premier navire annoncé lors du retour du service au Havre.</x:v>
      </x:c>
    </x:row>
    <x:row r="94">
      <x:c r="A94" s="10" t="str">
        <x:v>G005</x:v>
      </x:c>
      <x:c r="B94" s="10" t="str">
        <x:v>G005</x:v>
      </x:c>
      <x:c r="C94" s="10" t="str">
        <x:v>Hapag-Lloyd</x:v>
      </x:c>
      <x:c r="D94" s="10" t="str">
        <x:v>Hapag-Lloyd</x:v>
      </x:c>
      <x:c r="E94" s="10" t="str">
        <x:v>Rattaché à l'entité opérationnelle</x:v>
      </x:c>
      <x:c r="F94" s="10" t="str">
        <x:v>Hapag-Lloyd</x:v>
      </x:c>
      <x:c r="G94" s="10" t="str">
        <x:v>Hapag-Lloyd</x:v>
      </x:c>
      <x:c r="H94" s="10" t="str">
        <x:v>IRENES RULE</x:v>
      </x:c>
      <x:c r="I94" s="10" t="str">
        <x:v>9953561</x:v>
      </x:c>
      <x:c r="J94" s="10" t="str">
        <x:v>2024-09-14</x:v>
      </x:c>
      <x:c r="K94" s="10" t="n">
        <x:v>2024</x:v>
      </x:c>
      <x:c r="L94" s="10" t="str">
        <x:v>Service Hapag-Lloyd</x:v>
      </x:c>
      <x:c r="M94" s="10" t="str">
        <x:v>Le Havre</x:v>
      </x:c>
      <x:c r="N94" s="10" t="str">
        <x:v>C</x:v>
      </x:c>
      <x:c r="O94" s="10" t="str">
        <x:v>https://www.marine-marchande.net/Jourlejour4/AujourleJour-540.html</x:v>
      </x:c>
      <x:c r="P94" s="10" t="str">
        <x:v>Observation portuaire datée.</x:v>
      </x:c>
    </x:row>
    <x:row r="95">
      <x:c r="A95" s="10" t="str">
        <x:v>G005</x:v>
      </x:c>
      <x:c r="B95" s="10" t="str">
        <x:v>G005</x:v>
      </x:c>
      <x:c r="C95" s="10" t="str">
        <x:v>Hapag-Lloyd</x:v>
      </x:c>
      <x:c r="D95" s="10" t="str">
        <x:v>Hapag-Lloyd</x:v>
      </x:c>
      <x:c r="E95" s="10" t="str">
        <x:v>Rattaché à l'entité opérationnelle</x:v>
      </x:c>
      <x:c r="F95" s="10" t="str">
        <x:v>Hapag-Lloyd</x:v>
      </x:c>
      <x:c r="G95" s="10" t="str">
        <x:v>Hapag-Lloyd</x:v>
      </x:c>
      <x:c r="H95" s="10" t="str">
        <x:v>LIVERPOOL EXPRESS</x:v>
      </x:c>
      <x:c r="I95" s="10"/>
      <x:c r="J95" s="10" t="str">
        <x:v>2025-08</x:v>
      </x:c>
      <x:c r="K95" s="10" t="n">
        <x:v>2025</x:v>
      </x:c>
      <x:c r="L95" s="10" t="str">
        <x:v>Service Hapag-Lloyd</x:v>
      </x:c>
      <x:c r="M95" s="10" t="str">
        <x:v>Port 2000</x:v>
      </x:c>
      <x:c r="N95" s="10" t="str">
        <x:v>C</x:v>
      </x:c>
      <x:c r="O95" s="10" t="str">
        <x:v>https://www.marine-marchande.net/Jourlejour4/AujourleJour-552.html</x:v>
      </x:c>
      <x:c r="P95" s="10" t="str">
        <x:v>Observation portuaire datée.</x:v>
      </x:c>
    </x:row>
    <x:row r="96">
      <x:c r="A96" s="10" t="str">
        <x:v>G005</x:v>
      </x:c>
      <x:c r="B96" s="10" t="str">
        <x:v>G005</x:v>
      </x:c>
      <x:c r="C96" s="10" t="str">
        <x:v>Hapag-Lloyd</x:v>
      </x:c>
      <x:c r="D96" s="10" t="str">
        <x:v>Hapag-Lloyd</x:v>
      </x:c>
      <x:c r="E96" s="10" t="str">
        <x:v>Rattaché à l'entité opérationnelle</x:v>
      </x:c>
      <x:c r="F96" s="10" t="str">
        <x:v>Hapag-Lloyd</x:v>
      </x:c>
      <x:c r="G96" s="10" t="str">
        <x:v>Hapag-Lloyd</x:v>
      </x:c>
      <x:c r="H96" s="10" t="str">
        <x:v>PRAGUE EXPRESS</x:v>
      </x:c>
      <x:c r="I96" s="10" t="str">
        <x:v>9450399</x:v>
      </x:c>
      <x:c r="J96" s="10" t="str">
        <x:v>2024-07</x:v>
      </x:c>
      <x:c r="K96" s="10" t="n">
        <x:v>2024</x:v>
      </x:c>
      <x:c r="L96" s="10" t="str">
        <x:v>Service Hapag-Lloyd</x:v>
      </x:c>
      <x:c r="M96" s="10" t="str">
        <x:v>Le Havre</x:v>
      </x:c>
      <x:c r="N96" s="10" t="str">
        <x:v>C</x:v>
      </x:c>
      <x:c r="O96" s="10" t="str">
        <x:v>https://www.marine-marchande.net/Jourlejour4/AujourleJour-539.html</x:v>
      </x:c>
      <x:c r="P96" s="10" t="str">
        <x:v>Présence havraise documentée.</x:v>
      </x:c>
    </x:row>
    <x:row r="97">
      <x:c r="A97" s="10" t="str">
        <x:v>G005</x:v>
      </x:c>
      <x:c r="B97" s="10" t="str">
        <x:v>G005</x:v>
      </x:c>
      <x:c r="C97" s="10" t="str">
        <x:v>Hapag-Lloyd</x:v>
      </x:c>
      <x:c r="D97" s="10" t="str">
        <x:v>Hapag-Lloyd</x:v>
      </x:c>
      <x:c r="E97" s="10" t="str">
        <x:v>Rattaché à l'entité opérationnelle</x:v>
      </x:c>
      <x:c r="F97" s="10" t="str">
        <x:v>Hapag-Lloyd</x:v>
      </x:c>
      <x:c r="G97" s="10" t="str">
        <x:v>Hapag-Lloyd</x:v>
      </x:c>
      <x:c r="H97" s="10" t="str">
        <x:v>TIHAMA</x:v>
      </x:c>
      <x:c r="I97" s="10"/>
      <x:c r="J97" s="10" t="str">
        <x:v>2024-09-01</x:v>
      </x:c>
      <x:c r="K97" s="10" t="n">
        <x:v>2024</x:v>
      </x:c>
      <x:c r="L97" s="10" t="str">
        <x:v>Asie-Europe</x:v>
      </x:c>
      <x:c r="M97" s="10" t="str">
        <x:v>Le Havre</x:v>
      </x:c>
      <x:c r="N97" s="10" t="str">
        <x:v>C</x:v>
      </x:c>
      <x:c r="O97" s="10" t="str">
        <x:v>https://www.scribd.com/document/754984822/SCHEDULES-LE-HAVRE-BUSAN-AOUT-2024</x:v>
      </x:c>
      <x:c r="P97" s="10" t="str">
        <x:v>Schedule commercial Le Havre–Busan.</x:v>
      </x:c>
    </x:row>
    <x:row r="98">
      <x:c r="A98" s="10" t="str">
        <x:v>G005</x:v>
      </x:c>
      <x:c r="B98" s="10" t="str">
        <x:v>G005</x:v>
      </x:c>
      <x:c r="C98" s="10" t="str">
        <x:v>Hapag-Lloyd</x:v>
      </x:c>
      <x:c r="D98" s="10" t="str">
        <x:v>Hapag-Lloyd</x:v>
      </x:c>
      <x:c r="E98" s="10" t="str">
        <x:v>Rattaché à l'entité opérationnelle</x:v>
      </x:c>
      <x:c r="F98" s="10" t="str">
        <x:v>Hapag-Lloyd</x:v>
      </x:c>
      <x:c r="G98" s="10" t="str">
        <x:v>Hapag-Lloyd</x:v>
      </x:c>
      <x:c r="H98" s="10" t="str">
        <x:v>XIAMEN EXPRESS</x:v>
      </x:c>
      <x:c r="I98" s="10"/>
      <x:c r="J98" s="10" t="str">
        <x:v>2025-03-15</x:v>
      </x:c>
      <x:c r="K98" s="10" t="n">
        <x:v>2025</x:v>
      </x:c>
      <x:c r="L98" s="10" t="str">
        <x:v>Service Hapag-Lloyd</x:v>
      </x:c>
      <x:c r="M98" s="10" t="str">
        <x:v>Port 2000</x:v>
      </x:c>
      <x:c r="N98" s="10" t="str">
        <x:v>C</x:v>
      </x:c>
      <x:c r="O98" s="10" t="str">
        <x:v>https://www.marine-marchande.net/Jourlejour4/AujourleJour-548.html</x:v>
      </x:c>
      <x:c r="P98" s="10" t="str">
        <x:v>Observation portuaire datée.</x:v>
      </x:c>
    </x:row>
    <x:row r="99">
      <x:c r="A99" s="10" t="str">
        <x:v>G005</x:v>
      </x:c>
      <x:c r="B99" s="10" t="str">
        <x:v>G005</x:v>
      </x:c>
      <x:c r="C99" s="10" t="str">
        <x:v>Hapag-Lloyd</x:v>
      </x:c>
      <x:c r="D99" s="10" t="str">
        <x:v>Hapag-Lloyd</x:v>
      </x:c>
      <x:c r="E99" s="10" t="str">
        <x:v>Rattaché à l'entité opérationnelle</x:v>
      </x:c>
      <x:c r="F99" s="10" t="str">
        <x:v>Hapag-Lloyd</x:v>
      </x:c>
      <x:c r="G99" s="10" t="str">
        <x:v>Hapag-Lloyd / Gemini</x:v>
      </x:c>
      <x:c r="H99" s="10" t="str">
        <x:v>DUBAI EXPRESS</x:v>
      </x:c>
      <x:c r="I99" s="10"/>
      <x:c r="J99" s="10" t="str">
        <x:v>2025-08-15</x:v>
      </x:c>
      <x:c r="K99" s="10" t="n">
        <x:v>2025</x:v>
      </x:c>
      <x:c r="L99" s="10" t="str">
        <x:v>Gemini shuttle</x:v>
      </x:c>
      <x:c r="M99" s="10" t="str">
        <x:v>Le Havre</x:v>
      </x:c>
      <x:c r="N99" s="10" t="str">
        <x:v>B2</x:v>
      </x:c>
      <x:c r="O99" s="10" t="str">
        <x:v>https://www.hapag-lloyd.com/en/services-information/news/2025/08/gemini-cooperation--shuttle-update.html</x:v>
      </x:c>
      <x:c r="P99" s="10" t="str">
        <x:v>ETA/escale Le Havre publiée par Hapag-Lloyd.</x:v>
      </x:c>
    </x:row>
    <x:row r="100">
      <x:c r="A100" s="10" t="str">
        <x:v>G005</x:v>
      </x:c>
      <x:c r="B100" s="10" t="str">
        <x:v>G005</x:v>
      </x:c>
      <x:c r="C100" s="10" t="str">
        <x:v>Hapag-Lloyd</x:v>
      </x:c>
      <x:c r="D100" s="10" t="str">
        <x:v>Hapag-Lloyd</x:v>
      </x:c>
      <x:c r="E100" s="10" t="str">
        <x:v>Rattaché à l'entité opérationnelle</x:v>
      </x:c>
      <x:c r="F100" s="10" t="str">
        <x:v>Hapag-Lloyd</x:v>
      </x:c>
      <x:c r="G100" s="10" t="str">
        <x:v>Hapag-Lloyd / Gemini</x:v>
      </x:c>
      <x:c r="H100" s="10" t="str">
        <x:v>HAMMONIA BALTICA</x:v>
      </x:c>
      <x:c r="I100" s="10"/>
      <x:c r="J100" s="10" t="str">
        <x:v>2025-08-06</x:v>
      </x:c>
      <x:c r="K100" s="10" t="n">
        <x:v>2025</x:v>
      </x:c>
      <x:c r="L100" s="10" t="str">
        <x:v>Gemini shuttle</x:v>
      </x:c>
      <x:c r="M100" s="10" t="str">
        <x:v>Le Havre</x:v>
      </x:c>
      <x:c r="N100" s="10" t="str">
        <x:v>B2</x:v>
      </x:c>
      <x:c r="O100" s="10" t="str">
        <x:v>https://www.hapag-lloyd.com/en/services-information/news/2025/08/gemini-cooperation--shuttle-update.html</x:v>
      </x:c>
      <x:c r="P100" s="10" t="str">
        <x:v>Escale Le Havre publiée par Hapag-Lloyd.</x:v>
      </x:c>
    </x:row>
    <x:row r="101">
      <x:c r="A101" s="10" t="str">
        <x:v>G005</x:v>
      </x:c>
      <x:c r="B101" s="10" t="str">
        <x:v>G005</x:v>
      </x:c>
      <x:c r="C101" s="10" t="str">
        <x:v>Hapag-Lloyd</x:v>
      </x:c>
      <x:c r="D101" s="10" t="str">
        <x:v>Hapag-Lloyd</x:v>
      </x:c>
      <x:c r="E101" s="10" t="str">
        <x:v>Rattaché à l'entité opérationnelle</x:v>
      </x:c>
      <x:c r="F101" s="10" t="str">
        <x:v>Hapag-Lloyd</x:v>
      </x:c>
      <x:c r="G101" s="10" t="str">
        <x:v>Hapag-Lloyd / navire affrété</x:v>
      </x:c>
      <x:c r="H101" s="10" t="str">
        <x:v>IRENES RESOLVE</x:v>
      </x:c>
      <x:c r="I101" s="10"/>
      <x:c r="J101" s="10" t="str">
        <x:v>2024-07-22</x:v>
      </x:c>
      <x:c r="K101" s="10" t="n">
        <x:v>2024</x:v>
      </x:c>
      <x:c r="L101" s="10" t="str">
        <x:v>Service Hapag-Lloyd</x:v>
      </x:c>
      <x:c r="M101" s="10" t="str">
        <x:v>Le Havre</x:v>
      </x:c>
      <x:c r="N101" s="10" t="str">
        <x:v>C</x:v>
      </x:c>
      <x:c r="O101" s="10" t="str">
        <x:v>https://www.marine-marchande.net/Jourlejour4/AujourleJour-539.html</x:v>
      </x:c>
      <x:c r="P101" s="10" t="str">
        <x:v>Présence havraise documentée.</x:v>
      </x:c>
    </x:row>
    <x:row r="102">
      <x:c r="A102" s="10" t="str">
        <x:v>G001</x:v>
      </x:c>
      <x:c r="B102" s="10" t="str">
        <x:v>G001</x:v>
      </x:c>
      <x:c r="C102" s="10" t="str">
        <x:v>MSC (Mediterranean Shipping Company)</x:v>
      </x:c>
      <x:c r="D102" s="10" t="str">
        <x:v>MSC (Mediterranean Shipping Company)</x:v>
      </x:c>
      <x:c r="E102" s="10" t="str">
        <x:v>Rattaché à l'entité opérationnelle</x:v>
      </x:c>
      <x:c r="F102" s="10" t="str">
        <x:v>MSC</x:v>
      </x:c>
      <x:c r="G102" s="10" t="str">
        <x:v>MSC</x:v>
      </x:c>
      <x:c r="H102" s="10" t="str">
        <x:v>LE HAVRE</x:v>
      </x:c>
      <x:c r="I102" s="10" t="str">
        <x:v>9307243</x:v>
      </x:c>
      <x:c r="J102" s="10" t="str">
        <x:v>2023-09-20</x:v>
      </x:c>
      <x:c r="K102" s="10" t="n">
        <x:v>2023</x:v>
      </x:c>
      <x:c r="L102" s="10" t="str">
        <x:v>Service MSC</x:v>
      </x:c>
      <x:c r="M102" s="10" t="str">
        <x:v>Le Havre</x:v>
      </x:c>
      <x:c r="N102" s="10" t="str">
        <x:v>C</x:v>
      </x:c>
      <x:c r="O102" s="10" t="str">
        <x:v>https://www.marine-marchande.net/Jourlejour4/AujourleJour-529.html</x:v>
      </x:c>
      <x:c r="P102" s="10" t="str">
        <x:v>Porte-conteneurs nommé LE HAVRE, exploité sur service MSC.</x:v>
      </x:c>
    </x:row>
    <x:row r="103">
      <x:c r="A103" s="10" t="str">
        <x:v>G001</x:v>
      </x:c>
      <x:c r="B103" s="10" t="str">
        <x:v>G001</x:v>
      </x:c>
      <x:c r="C103" s="10" t="str">
        <x:v>MSC (Mediterranean Shipping Company)</x:v>
      </x:c>
      <x:c r="D103" s="10" t="str">
        <x:v>MSC (Mediterranean Shipping Company)</x:v>
      </x:c>
      <x:c r="E103" s="10" t="str">
        <x:v>Rattaché à l'entité opérationnelle</x:v>
      </x:c>
      <x:c r="F103" s="10" t="str">
        <x:v>MSC</x:v>
      </x:c>
      <x:c r="G103" s="10" t="str">
        <x:v>MSC</x:v>
      </x:c>
      <x:c r="H103" s="10" t="str">
        <x:v>MSC ABIGAIL F</x:v>
      </x:c>
      <x:c r="I103" s="10"/>
      <x:c r="J103" s="10" t="str">
        <x:v>2023-02-19</x:v>
      </x:c>
      <x:c r="K103" s="10" t="n">
        <x:v>2023</x:v>
      </x:c>
      <x:c r="L103" s="10" t="str">
        <x:v>Feeder / MSC</x:v>
      </x:c>
      <x:c r="M103" s="10" t="str">
        <x:v>Port 2000</x:v>
      </x:c>
      <x:c r="N103" s="10" t="str">
        <x:v>C</x:v>
      </x:c>
      <x:c r="O103" s="10" t="str">
        <x:v>https://www.marine-marchande.net/Jourlejour4/AujourleJour-521.html</x:v>
      </x:c>
      <x:c r="P103" s="10" t="str">
        <x:v>Arrivée de Dunkerque documentée.</x:v>
      </x:c>
    </x:row>
    <x:row r="104">
      <x:c r="A104" s="10" t="str">
        <x:v>G001</x:v>
      </x:c>
      <x:c r="B104" s="10" t="str">
        <x:v>G001</x:v>
      </x:c>
      <x:c r="C104" s="10" t="str">
        <x:v>MSC (Mediterranean Shipping Company)</x:v>
      </x:c>
      <x:c r="D104" s="10" t="str">
        <x:v>MSC (Mediterranean Shipping Company)</x:v>
      </x:c>
      <x:c r="E104" s="10" t="str">
        <x:v>Rattaché à l'entité opérationnelle</x:v>
      </x:c>
      <x:c r="F104" s="10" t="str">
        <x:v>MSC</x:v>
      </x:c>
      <x:c r="G104" s="10" t="str">
        <x:v>MSC</x:v>
      </x:c>
      <x:c r="H104" s="10" t="str">
        <x:v>MSC ALLEGRA</x:v>
      </x:c>
      <x:c r="I104" s="10" t="str">
        <x:v>9897028</x:v>
      </x:c>
      <x:c r="J104" s="10" t="str">
        <x:v>2023-02-04</x:v>
      </x:c>
      <x:c r="K104" s="10" t="n">
        <x:v>2023</x:v>
      </x:c>
      <x:c r="L104" s="10" t="str">
        <x:v>Service MSC</x:v>
      </x:c>
      <x:c r="M104" s="10" t="str">
        <x:v>Le Havre</x:v>
      </x:c>
      <x:c r="N104" s="10" t="str">
        <x:v>C</x:v>
      </x:c>
      <x:c r="O104" s="10" t="str">
        <x:v>https://www.marine-marchande.net/Jourlejour4/AujourleJour-521.html</x:v>
      </x:c>
      <x:c r="P104" s="10" t="str">
        <x:v>Présence havraise documentée.</x:v>
      </x:c>
    </x:row>
    <x:row r="105">
      <x:c r="A105" s="10" t="str">
        <x:v>G001</x:v>
      </x:c>
      <x:c r="B105" s="10" t="str">
        <x:v>G001</x:v>
      </x:c>
      <x:c r="C105" s="10" t="str">
        <x:v>MSC (Mediterranean Shipping Company)</x:v>
      </x:c>
      <x:c r="D105" s="10" t="str">
        <x:v>MSC (Mediterranean Shipping Company)</x:v>
      </x:c>
      <x:c r="E105" s="10" t="str">
        <x:v>Rattaché à l'entité opérationnelle</x:v>
      </x:c>
      <x:c r="F105" s="10" t="str">
        <x:v>MSC</x:v>
      </x:c>
      <x:c r="G105" s="10" t="str">
        <x:v>MSC</x:v>
      </x:c>
      <x:c r="H105" s="10" t="str">
        <x:v>MSC ANISHA R.</x:v>
      </x:c>
      <x:c r="I105" s="10"/>
      <x:c r="J105" s="10" t="str">
        <x:v>2024-03-23</x:v>
      </x:c>
      <x:c r="K105" s="10" t="n">
        <x:v>2024</x:v>
      </x:c>
      <x:c r="L105" s="10" t="str">
        <x:v>Service MSC</x:v>
      </x:c>
      <x:c r="M105" s="10" t="str">
        <x:v>Le Havre</x:v>
      </x:c>
      <x:c r="N105" s="10" t="str">
        <x:v>C</x:v>
      </x:c>
      <x:c r="O105" s="10" t="str">
        <x:v>https://www.marine-marchande.net/Jourlejour4/AujourleJour-534.html</x:v>
      </x:c>
      <x:c r="P105" s="10" t="str">
        <x:v>Présence havraise documentée sur le week-end du 23–24 mars.</x:v>
      </x:c>
    </x:row>
    <x:row r="106">
      <x:c r="A106" s="10" t="str">
        <x:v>G001</x:v>
      </x:c>
      <x:c r="B106" s="10" t="str">
        <x:v>G001</x:v>
      </x:c>
      <x:c r="C106" s="10" t="str">
        <x:v>MSC (Mediterranean Shipping Company)</x:v>
      </x:c>
      <x:c r="D106" s="10" t="str">
        <x:v>MSC (Mediterranean Shipping Company)</x:v>
      </x:c>
      <x:c r="E106" s="10" t="str">
        <x:v>Rattaché à l'entité opérationnelle</x:v>
      </x:c>
      <x:c r="F106" s="10" t="str">
        <x:v>MSC</x:v>
      </x:c>
      <x:c r="G106" s="10" t="str">
        <x:v>MSC</x:v>
      </x:c>
      <x:c r="H106" s="10" t="str">
        <x:v>MSC ANS</x:v>
      </x:c>
      <x:c r="I106" s="10"/>
      <x:c r="J106" s="10" t="str">
        <x:v>2024-03-18</x:v>
      </x:c>
      <x:c r="K106" s="10" t="n">
        <x:v>2024</x:v>
      </x:c>
      <x:c r="L106" s="10" t="str">
        <x:v>ZNT / service partagé</x:v>
      </x:c>
      <x:c r="M106" s="10" t="str">
        <x:v>Le Havre</x:v>
      </x:c>
      <x:c r="N106" s="10" t="str">
        <x:v>B2</x:v>
      </x:c>
      <x:c r="O106" s="10" t="str">
        <x:v>https://www.zim.com/es/news/customer-advisory/zim-announces-changes-to-its-north-europe-tuerkiye-service-znt-line</x:v>
      </x:c>
      <x:c r="P106" s="10" t="str">
        <x:v>Départ du Havre documenté par ZIM.</x:v>
      </x:c>
    </x:row>
    <x:row r="107">
      <x:c r="A107" s="10" t="str">
        <x:v>G001</x:v>
      </x:c>
      <x:c r="B107" s="10" t="str">
        <x:v>G001</x:v>
      </x:c>
      <x:c r="C107" s="10" t="str">
        <x:v>MSC (Mediterranean Shipping Company)</x:v>
      </x:c>
      <x:c r="D107" s="10" t="str">
        <x:v>MSC (Mediterranean Shipping Company)</x:v>
      </x:c>
      <x:c r="E107" s="10" t="str">
        <x:v>Rattaché à l'entité opérationnelle</x:v>
      </x:c>
      <x:c r="F107" s="10" t="str">
        <x:v>MSC</x:v>
      </x:c>
      <x:c r="G107" s="10" t="str">
        <x:v>MSC</x:v>
      </x:c>
      <x:c r="H107" s="10" t="str">
        <x:v>MSC ANYA</x:v>
      </x:c>
      <x:c r="I107" s="10"/>
      <x:c r="J107" s="10" t="str">
        <x:v>2025-06-20</x:v>
      </x:c>
      <x:c r="K107" s="10" t="n">
        <x:v>2025</x:v>
      </x:c>
      <x:c r="L107" s="10" t="str">
        <x:v>Service MSC</x:v>
      </x:c>
      <x:c r="M107" s="10" t="str">
        <x:v>Port 2000</x:v>
      </x:c>
      <x:c r="N107" s="10" t="str">
        <x:v>C</x:v>
      </x:c>
      <x:c r="O107" s="10" t="str">
        <x:v>https://www.marine-marchande.net/Jourlejour4/AujourleJour-550.html</x:v>
      </x:c>
      <x:c r="P107" s="10" t="str">
        <x:v>Observation portuaire datée.</x:v>
      </x:c>
    </x:row>
    <x:row r="108">
      <x:c r="A108" s="10" t="str">
        <x:v>G001</x:v>
      </x:c>
      <x:c r="B108" s="10" t="str">
        <x:v>G001</x:v>
      </x:c>
      <x:c r="C108" s="10" t="str">
        <x:v>MSC (Mediterranean Shipping Company)</x:v>
      </x:c>
      <x:c r="D108" s="10" t="str">
        <x:v>MSC (Mediterranean Shipping Company)</x:v>
      </x:c>
      <x:c r="E108" s="10" t="str">
        <x:v>Rattaché à l'entité opérationnelle</x:v>
      </x:c>
      <x:c r="F108" s="10" t="str">
        <x:v>MSC</x:v>
      </x:c>
      <x:c r="G108" s="10" t="str">
        <x:v>MSC</x:v>
      </x:c>
      <x:c r="H108" s="10" t="str">
        <x:v>MSC ATHENS</x:v>
      </x:c>
      <x:c r="I108" s="10"/>
      <x:c r="J108" s="10" t="str">
        <x:v>2024-03-23</x:v>
      </x:c>
      <x:c r="K108" s="10" t="n">
        <x:v>2024</x:v>
      </x:c>
      <x:c r="L108" s="10" t="str">
        <x:v>Service MSC</x:v>
      </x:c>
      <x:c r="M108" s="10" t="str">
        <x:v>Port 2000</x:v>
      </x:c>
      <x:c r="N108" s="10" t="str">
        <x:v>C</x:v>
      </x:c>
      <x:c r="O108" s="10" t="str">
        <x:v>https://www.marine-marchande.net/Jourlejour4/AujourleJour-534.html</x:v>
      </x:c>
      <x:c r="P108" s="10" t="str">
        <x:v>Arrivée de Felixstowe documentée.</x:v>
      </x:c>
    </x:row>
    <x:row r="109">
      <x:c r="A109" s="10" t="str">
        <x:v>G001</x:v>
      </x:c>
      <x:c r="B109" s="10" t="str">
        <x:v>G001</x:v>
      </x:c>
      <x:c r="C109" s="10" t="str">
        <x:v>MSC (Mediterranean Shipping Company)</x:v>
      </x:c>
      <x:c r="D109" s="10" t="str">
        <x:v>MSC (Mediterranean Shipping Company)</x:v>
      </x:c>
      <x:c r="E109" s="10" t="str">
        <x:v>Rattaché à l'entité opérationnelle</x:v>
      </x:c>
      <x:c r="F109" s="10" t="str">
        <x:v>MSC</x:v>
      </x:c>
      <x:c r="G109" s="10" t="str">
        <x:v>MSC</x:v>
      </x:c>
      <x:c r="H109" s="10" t="str">
        <x:v>MSC BIANCA SILVIA</x:v>
      </x:c>
      <x:c r="I109" s="10"/>
      <x:c r="J109" s="10" t="str">
        <x:v>2023-06-21</x:v>
      </x:c>
      <x:c r="K109" s="10" t="n">
        <x:v>2023</x:v>
      </x:c>
      <x:c r="L109" s="10" t="str">
        <x:v>Griffin / 2M</x:v>
      </x:c>
      <x:c r="M109" s="10" t="str">
        <x:v>Terminal de Normandie</x:v>
      </x:c>
      <x:c r="N109" s="10" t="str">
        <x:v>A1</x:v>
      </x:c>
      <x:c r="O109" s="10" t="str">
        <x:v>https://www.haropaport.com/fr/actualites/le-havre-double-escale-inaugurale-avec-les-derniers-nes-de-larmement-msc</x:v>
      </x:c>
      <x:c r="P109" s="10" t="str">
        <x:v>Escale inaugurale HAROPA.</x:v>
      </x:c>
    </x:row>
    <x:row r="110">
      <x:c r="A110" s="10" t="str">
        <x:v>G001</x:v>
      </x:c>
      <x:c r="B110" s="10" t="str">
        <x:v>G001</x:v>
      </x:c>
      <x:c r="C110" s="10" t="str">
        <x:v>MSC (Mediterranean Shipping Company)</x:v>
      </x:c>
      <x:c r="D110" s="10" t="str">
        <x:v>MSC (Mediterranean Shipping Company)</x:v>
      </x:c>
      <x:c r="E110" s="10" t="str">
        <x:v>Rattaché à l'entité opérationnelle</x:v>
      </x:c>
      <x:c r="F110" s="10" t="str">
        <x:v>MSC</x:v>
      </x:c>
      <x:c r="G110" s="10" t="str">
        <x:v>MSC</x:v>
      </x:c>
      <x:c r="H110" s="10" t="str">
        <x:v>MSC DIANA</x:v>
      </x:c>
      <x:c r="I110" s="10"/>
      <x:c r="J110" s="10" t="str">
        <x:v>2023-08-29</x:v>
      </x:c>
      <x:c r="K110" s="10" t="n">
        <x:v>2023</x:v>
      </x:c>
      <x:c r="L110" s="10" t="str">
        <x:v>Asie-Europe</x:v>
      </x:c>
      <x:c r="M110" s="10" t="str">
        <x:v>Le Havre</x:v>
      </x:c>
      <x:c r="N110" s="10" t="str">
        <x:v>C</x:v>
      </x:c>
      <x:c r="O110" s="10" t="str">
        <x:v>https://www.marine-marchande.net/Jourlejour4/AujourleJour-528.html</x:v>
      </x:c>
      <x:c r="P110" s="10" t="str">
        <x:v>Observation portuaire datée.</x:v>
      </x:c>
    </x:row>
    <x:row r="111">
      <x:c r="A111" s="10" t="str">
        <x:v>G001</x:v>
      </x:c>
      <x:c r="B111" s="10" t="str">
        <x:v>G001</x:v>
      </x:c>
      <x:c r="C111" s="10" t="str">
        <x:v>MSC (Mediterranean Shipping Company)</x:v>
      </x:c>
      <x:c r="D111" s="10" t="str">
        <x:v>MSC (Mediterranean Shipping Company)</x:v>
      </x:c>
      <x:c r="E111" s="10" t="str">
        <x:v>Rattaché à l'entité opérationnelle</x:v>
      </x:c>
      <x:c r="F111" s="10" t="str">
        <x:v>MSC</x:v>
      </x:c>
      <x:c r="G111" s="10" t="str">
        <x:v>MSC</x:v>
      </x:c>
      <x:c r="H111" s="10" t="str">
        <x:v>MSC DOLETTE</x:v>
      </x:c>
      <x:c r="I111" s="10"/>
      <x:c r="J111" s="10" t="str">
        <x:v>2026-05-04</x:v>
      </x:c>
      <x:c r="K111" s="10" t="n">
        <x:v>2026</x:v>
      </x:c>
      <x:c r="L111" s="10" t="str">
        <x:v>Service MSC</x:v>
      </x:c>
      <x:c r="M111" s="10" t="str">
        <x:v>Port 2000</x:v>
      </x:c>
      <x:c r="N111" s="10" t="str">
        <x:v>C</x:v>
      </x:c>
      <x:c r="O111" s="10" t="str">
        <x:v>https://www.marine-marchande.net/Jourlejour4/AujourleJour-561.html</x:v>
      </x:c>
      <x:c r="P111" s="10" t="str">
        <x:v>Observation portuaire datée.</x:v>
      </x:c>
    </x:row>
    <x:row r="112">
      <x:c r="A112" s="10" t="str">
        <x:v>G001</x:v>
      </x:c>
      <x:c r="B112" s="10" t="str">
        <x:v>G001</x:v>
      </x:c>
      <x:c r="C112" s="10" t="str">
        <x:v>MSC (Mediterranean Shipping Company)</x:v>
      </x:c>
      <x:c r="D112" s="10" t="str">
        <x:v>MSC (Mediterranean Shipping Company)</x:v>
      </x:c>
      <x:c r="E112" s="10" t="str">
        <x:v>Rattaché à l'entité opérationnelle</x:v>
      </x:c>
      <x:c r="F112" s="10" t="str">
        <x:v>MSC</x:v>
      </x:c>
      <x:c r="G112" s="10" t="str">
        <x:v>MSC</x:v>
      </x:c>
      <x:c r="H112" s="10" t="str">
        <x:v>MSC ELLEN</x:v>
      </x:c>
      <x:c r="I112" s="10" t="str">
        <x:v>9166780</x:v>
      </x:c>
      <x:c r="J112" s="10" t="str">
        <x:v>2024-12-04</x:v>
      </x:c>
      <x:c r="K112" s="10" t="n">
        <x:v>2024</x:v>
      </x:c>
      <x:c r="L112" s="10" t="str">
        <x:v>Service MSC</x:v>
      </x:c>
      <x:c r="M112" s="10" t="str">
        <x:v>Port 2000</x:v>
      </x:c>
      <x:c r="N112" s="10" t="str">
        <x:v>C</x:v>
      </x:c>
      <x:c r="O112" s="10" t="str">
        <x:v>https://www.marine-marchande.net/Jourlejour4/AujourleJour-543.html</x:v>
      </x:c>
      <x:c r="P112" s="10" t="str">
        <x:v>Arrivée au Havre documentée.</x:v>
      </x:c>
    </x:row>
    <x:row r="113">
      <x:c r="A113" s="10" t="str">
        <x:v>G001</x:v>
      </x:c>
      <x:c r="B113" s="10" t="str">
        <x:v>G001</x:v>
      </x:c>
      <x:c r="C113" s="10" t="str">
        <x:v>MSC (Mediterranean Shipping Company)</x:v>
      </x:c>
      <x:c r="D113" s="10" t="str">
        <x:v>MSC (Mediterranean Shipping Company)</x:v>
      </x:c>
      <x:c r="E113" s="10" t="str">
        <x:v>Rattaché à l'entité opérationnelle</x:v>
      </x:c>
      <x:c r="F113" s="10" t="str">
        <x:v>MSC</x:v>
      </x:c>
      <x:c r="G113" s="10" t="str">
        <x:v>MSC</x:v>
      </x:c>
      <x:c r="H113" s="10" t="str">
        <x:v>MSC FATMA</x:v>
      </x:c>
      <x:c r="I113" s="10" t="str">
        <x:v>9927251</x:v>
      </x:c>
      <x:c r="J113" s="10" t="str">
        <x:v>2025-08-27</x:v>
      </x:c>
      <x:c r="K113" s="10" t="n">
        <x:v>2025</x:v>
      </x:c>
      <x:c r="L113" s="10" t="str">
        <x:v>Service MSC</x:v>
      </x:c>
      <x:c r="M113" s="10" t="str">
        <x:v>Port 2000</x:v>
      </x:c>
      <x:c r="N113" s="10" t="str">
        <x:v>C</x:v>
      </x:c>
      <x:c r="O113" s="10" t="str">
        <x:v>https://www.marine-marchande.net/Jourlejour4/AujourleJour-552.html</x:v>
      </x:c>
      <x:c r="P113" s="10" t="str">
        <x:v>Observation portuaire datée.</x:v>
      </x:c>
    </x:row>
    <x:row r="114">
      <x:c r="A114" s="10" t="str">
        <x:v>G001</x:v>
      </x:c>
      <x:c r="B114" s="10" t="str">
        <x:v>G001</x:v>
      </x:c>
      <x:c r="C114" s="10" t="str">
        <x:v>MSC (Mediterranean Shipping Company)</x:v>
      </x:c>
      <x:c r="D114" s="10" t="str">
        <x:v>MSC (Mediterranean Shipping Company)</x:v>
      </x:c>
      <x:c r="E114" s="10" t="str">
        <x:v>Rattaché à l'entité opérationnelle</x:v>
      </x:c>
      <x:c r="F114" s="10" t="str">
        <x:v>MSC</x:v>
      </x:c>
      <x:c r="G114" s="10" t="str">
        <x:v>MSC</x:v>
      </x:c>
      <x:c r="H114" s="10" t="str">
        <x:v>MSC FERROL II</x:v>
      </x:c>
      <x:c r="I114" s="10" t="str">
        <x:v>9359325</x:v>
      </x:c>
      <x:c r="J114" s="10" t="str">
        <x:v>2026-04</x:v>
      </x:c>
      <x:c r="K114" s="10" t="n">
        <x:v>2026</x:v>
      </x:c>
      <x:c r="L114" s="10" t="str">
        <x:v>Service MSC</x:v>
      </x:c>
      <x:c r="M114" s="10" t="str">
        <x:v>Le Havre</x:v>
      </x:c>
      <x:c r="N114" s="10" t="str">
        <x:v>C</x:v>
      </x:c>
      <x:c r="O114" s="10" t="str">
        <x:v>https://www.marine-marchande.net/Jourlejour4/AujourleJour-559.html</x:v>
      </x:c>
      <x:c r="P114" s="10" t="str">
        <x:v>Présence havraise documentée début avril 2026.</x:v>
      </x:c>
    </x:row>
    <x:row r="115">
      <x:c r="A115" s="10" t="str">
        <x:v>G001</x:v>
      </x:c>
      <x:c r="B115" s="10" t="str">
        <x:v>G001</x:v>
      </x:c>
      <x:c r="C115" s="10" t="str">
        <x:v>MSC (Mediterranean Shipping Company)</x:v>
      </x:c>
      <x:c r="D115" s="10" t="str">
        <x:v>MSC (Mediterranean Shipping Company)</x:v>
      </x:c>
      <x:c r="E115" s="10" t="str">
        <x:v>Rattaché à l'entité opérationnelle</x:v>
      </x:c>
      <x:c r="F115" s="10" t="str">
        <x:v>MSC</x:v>
      </x:c>
      <x:c r="G115" s="10" t="str">
        <x:v>MSC</x:v>
      </x:c>
      <x:c r="H115" s="10" t="str">
        <x:v>MSC GEMMA</x:v>
      </x:c>
      <x:c r="I115" s="10"/>
      <x:c r="J115" s="10" t="str">
        <x:v>2024-06-03</x:v>
      </x:c>
      <x:c r="K115" s="10" t="n">
        <x:v>2024</x:v>
      </x:c>
      <x:c r="L115" s="10" t="str">
        <x:v>Asie-Europe</x:v>
      </x:c>
      <x:c r="M115" s="10" t="str">
        <x:v>Port 2000</x:v>
      </x:c>
      <x:c r="N115" s="10" t="str">
        <x:v>C</x:v>
      </x:c>
      <x:c r="O115" s="10" t="str">
        <x:v>https://www.marine-marchande.net/Jourlejour4/AujourleJour-537.html</x:v>
      </x:c>
      <x:c r="P115" s="10" t="str">
        <x:v>Observation portuaire datée.</x:v>
      </x:c>
    </x:row>
    <x:row r="116">
      <x:c r="A116" s="10" t="str">
        <x:v>G001</x:v>
      </x:c>
      <x:c r="B116" s="10" t="str">
        <x:v>G001</x:v>
      </x:c>
      <x:c r="C116" s="10" t="str">
        <x:v>MSC (Mediterranean Shipping Company)</x:v>
      </x:c>
      <x:c r="D116" s="10" t="str">
        <x:v>MSC (Mediterranean Shipping Company)</x:v>
      </x:c>
      <x:c r="E116" s="10" t="str">
        <x:v>Rattaché à l'entité opérationnelle</x:v>
      </x:c>
      <x:c r="F116" s="10" t="str">
        <x:v>MSC</x:v>
      </x:c>
      <x:c r="G116" s="10" t="str">
        <x:v>MSC</x:v>
      </x:c>
      <x:c r="H116" s="10" t="str">
        <x:v>MSC GIUSY</x:v>
      </x:c>
      <x:c r="I116" s="10" t="str">
        <x:v>9947134</x:v>
      </x:c>
      <x:c r="J116" s="10" t="str">
        <x:v>2026-03-30</x:v>
      </x:c>
      <x:c r="K116" s="10" t="n">
        <x:v>2026</x:v>
      </x:c>
      <x:c r="L116" s="10" t="str">
        <x:v>Service MSC</x:v>
      </x:c>
      <x:c r="M116" s="10" t="str">
        <x:v>Port 2000</x:v>
      </x:c>
      <x:c r="N116" s="10" t="str">
        <x:v>C</x:v>
      </x:c>
      <x:c r="O116" s="10" t="str">
        <x:v>https://www.marine-marchande.net/Jourlejour4/AujourleJour-559.html</x:v>
      </x:c>
      <x:c r="P116" s="10" t="str">
        <x:v>Observation portuaire datée.</x:v>
      </x:c>
    </x:row>
    <x:row r="117">
      <x:c r="A117" s="10" t="str">
        <x:v>G001</x:v>
      </x:c>
      <x:c r="B117" s="10" t="str">
        <x:v>G001</x:v>
      </x:c>
      <x:c r="C117" s="10" t="str">
        <x:v>MSC (Mediterranean Shipping Company)</x:v>
      </x:c>
      <x:c r="D117" s="10" t="str">
        <x:v>MSC (Mediterranean Shipping Company)</x:v>
      </x:c>
      <x:c r="E117" s="10" t="str">
        <x:v>Rattaché à l'entité opérationnelle</x:v>
      </x:c>
      <x:c r="F117" s="10" t="str">
        <x:v>MSC</x:v>
      </x:c>
      <x:c r="G117" s="10" t="str">
        <x:v>MSC</x:v>
      </x:c>
      <x:c r="H117" s="10" t="str">
        <x:v>MSC HAMBURG</x:v>
      </x:c>
      <x:c r="I117" s="10"/>
      <x:c r="J117" s="10" t="str">
        <x:v>2024-03-23</x:v>
      </x:c>
      <x:c r="K117" s="10" t="n">
        <x:v>2024</x:v>
      </x:c>
      <x:c r="L117" s="10" t="str">
        <x:v>Service MSC</x:v>
      </x:c>
      <x:c r="M117" s="10" t="str">
        <x:v>Le Havre</x:v>
      </x:c>
      <x:c r="N117" s="10" t="str">
        <x:v>C</x:v>
      </x:c>
      <x:c r="O117" s="10" t="str">
        <x:v>https://www.marine-marchande.net/Jourlejour4/AujourleJour-534.html</x:v>
      </x:c>
      <x:c r="P117" s="10" t="str">
        <x:v>Arrivée d'Anvers documentée.</x:v>
      </x:c>
    </x:row>
    <x:row r="118">
      <x:c r="A118" s="10" t="str">
        <x:v>G001</x:v>
      </x:c>
      <x:c r="B118" s="10" t="str">
        <x:v>G001</x:v>
      </x:c>
      <x:c r="C118" s="10" t="str">
        <x:v>MSC (Mediterranean Shipping Company)</x:v>
      </x:c>
      <x:c r="D118" s="10" t="str">
        <x:v>MSC (Mediterranean Shipping Company)</x:v>
      </x:c>
      <x:c r="E118" s="10" t="str">
        <x:v>Rattaché à l'entité opérationnelle</x:v>
      </x:c>
      <x:c r="F118" s="10" t="str">
        <x:v>MSC</x:v>
      </x:c>
      <x:c r="G118" s="10" t="str">
        <x:v>MSC</x:v>
      </x:c>
      <x:c r="H118" s="10" t="str">
        <x:v>MSC HEIDI</x:v>
      </x:c>
      <x:c r="I118" s="10"/>
      <x:c r="J118" s="10" t="str">
        <x:v>2025-02-25</x:v>
      </x:c>
      <x:c r="K118" s="10" t="n">
        <x:v>2025</x:v>
      </x:c>
      <x:c r="L118" s="10" t="str">
        <x:v>Service MSC</x:v>
      </x:c>
      <x:c r="M118" s="10" t="str">
        <x:v>Port 2000</x:v>
      </x:c>
      <x:c r="N118" s="10" t="str">
        <x:v>C</x:v>
      </x:c>
      <x:c r="O118" s="10" t="str">
        <x:v>https://www.marine-marchande.net/Jourlejour4/AujourleJour-547.html</x:v>
      </x:c>
      <x:c r="P118" s="10" t="str">
        <x:v>Observation portuaire datée.</x:v>
      </x:c>
    </x:row>
    <x:row r="119">
      <x:c r="A119" s="10" t="str">
        <x:v>G001</x:v>
      </x:c>
      <x:c r="B119" s="10" t="str">
        <x:v>G001</x:v>
      </x:c>
      <x:c r="C119" s="10" t="str">
        <x:v>MSC (Mediterranean Shipping Company)</x:v>
      </x:c>
      <x:c r="D119" s="10" t="str">
        <x:v>MSC (Mediterranean Shipping Company)</x:v>
      </x:c>
      <x:c r="E119" s="10" t="str">
        <x:v>Rattaché à l'entité opérationnelle</x:v>
      </x:c>
      <x:c r="F119" s="10" t="str">
        <x:v>MSC</x:v>
      </x:c>
      <x:c r="G119" s="10" t="str">
        <x:v>MSC</x:v>
      </x:c>
      <x:c r="H119" s="10" t="str">
        <x:v>MSC HELENA III</x:v>
      </x:c>
      <x:c r="I119" s="10"/>
      <x:c r="J119" s="10" t="str">
        <x:v>2024-07-21</x:v>
      </x:c>
      <x:c r="K119" s="10" t="n">
        <x:v>2024</x:v>
      </x:c>
      <x:c r="L119" s="10" t="str">
        <x:v>Service MSC</x:v>
      </x:c>
      <x:c r="M119" s="10" t="str">
        <x:v>Le Havre</x:v>
      </x:c>
      <x:c r="N119" s="10" t="str">
        <x:v>C</x:v>
      </x:c>
      <x:c r="O119" s="10" t="str">
        <x:v>https://www.marine-marchande.net/Jourlejour4/AujourleJour-539.html</x:v>
      </x:c>
      <x:c r="P119" s="10" t="str">
        <x:v>Présence havraise documentée.</x:v>
      </x:c>
    </x:row>
    <x:row r="120">
      <x:c r="A120" s="10" t="str">
        <x:v>G001</x:v>
      </x:c>
      <x:c r="B120" s="10" t="str">
        <x:v>G001</x:v>
      </x:c>
      <x:c r="C120" s="10" t="str">
        <x:v>MSC (Mediterranean Shipping Company)</x:v>
      </x:c>
      <x:c r="D120" s="10" t="str">
        <x:v>MSC (Mediterranean Shipping Company)</x:v>
      </x:c>
      <x:c r="E120" s="10" t="str">
        <x:v>Rattaché à l'entité opérationnelle</x:v>
      </x:c>
      <x:c r="F120" s="10" t="str">
        <x:v>MSC</x:v>
      </x:c>
      <x:c r="G120" s="10" t="str">
        <x:v>MSC</x:v>
      </x:c>
      <x:c r="H120" s="10" t="str">
        <x:v>MSC IERANTO</x:v>
      </x:c>
      <x:c r="I120" s="10" t="str">
        <x:v>9963619</x:v>
      </x:c>
      <x:c r="J120" s="10" t="str">
        <x:v>2026-04-15</x:v>
      </x:c>
      <x:c r="K120" s="10" t="n">
        <x:v>2026</x:v>
      </x:c>
      <x:c r="L120" s="10" t="str">
        <x:v>Service MSC</x:v>
      </x:c>
      <x:c r="M120" s="10" t="str">
        <x:v>Port 2000</x:v>
      </x:c>
      <x:c r="N120" s="10" t="str">
        <x:v>C</x:v>
      </x:c>
      <x:c r="O120" s="10" t="str">
        <x:v>https://www.marine-marchande.net/Jourlejour4/AujourleJour-560.html</x:v>
      </x:c>
      <x:c r="P120" s="10" t="str">
        <x:v>Observation portuaire datée.</x:v>
      </x:c>
    </x:row>
    <x:row r="121">
      <x:c r="A121" s="10" t="str">
        <x:v>G001</x:v>
      </x:c>
      <x:c r="B121" s="10" t="str">
        <x:v>G001</x:v>
      </x:c>
      <x:c r="C121" s="10" t="str">
        <x:v>MSC (Mediterranean Shipping Company)</x:v>
      </x:c>
      <x:c r="D121" s="10" t="str">
        <x:v>MSC (Mediterranean Shipping Company)</x:v>
      </x:c>
      <x:c r="E121" s="10" t="str">
        <x:v>Rattaché à l'entité opérationnelle</x:v>
      </x:c>
      <x:c r="F121" s="10" t="str">
        <x:v>MSC</x:v>
      </x:c>
      <x:c r="G121" s="10" t="str">
        <x:v>MSC</x:v>
      </x:c>
      <x:c r="H121" s="10" t="str">
        <x:v>MSC IKARIA VI</x:v>
      </x:c>
      <x:c r="I121" s="10" t="str">
        <x:v>9261449</x:v>
      </x:c>
      <x:c r="J121" s="10" t="str">
        <x:v>2025-02-14</x:v>
      </x:c>
      <x:c r="K121" s="10" t="n">
        <x:v>2025</x:v>
      </x:c>
      <x:c r="L121" s="10" t="str">
        <x:v>Service MSC</x:v>
      </x:c>
      <x:c r="M121" s="10" t="str">
        <x:v>Le Havre</x:v>
      </x:c>
      <x:c r="N121" s="10" t="str">
        <x:v>C</x:v>
      </x:c>
      <x:c r="O121" s="10" t="str">
        <x:v>https://www.marine-marchande.net/Jourlejour4/AujourleJour-546.html</x:v>
      </x:c>
      <x:c r="P121" s="10" t="str">
        <x:v>Fin de rotation nord-européenne au Havre.</x:v>
      </x:c>
    </x:row>
    <x:row r="122">
      <x:c r="A122" s="10" t="str">
        <x:v>G001</x:v>
      </x:c>
      <x:c r="B122" s="10" t="str">
        <x:v>G001</x:v>
      </x:c>
      <x:c r="C122" s="10" t="str">
        <x:v>MSC (Mediterranean Shipping Company)</x:v>
      </x:c>
      <x:c r="D122" s="10" t="str">
        <x:v>MSC (Mediterranean Shipping Company)</x:v>
      </x:c>
      <x:c r="E122" s="10" t="str">
        <x:v>Rattaché à l'entité opérationnelle</x:v>
      </x:c>
      <x:c r="F122" s="10" t="str">
        <x:v>MSC</x:v>
      </x:c>
      <x:c r="G122" s="10" t="str">
        <x:v>MSC</x:v>
      </x:c>
      <x:c r="H122" s="10" t="str">
        <x:v>MSC ISTANBUL</x:v>
      </x:c>
      <x:c r="I122" s="10" t="str">
        <x:v>9606326</x:v>
      </x:c>
      <x:c r="J122" s="10" t="str">
        <x:v>2024-06-03</x:v>
      </x:c>
      <x:c r="K122" s="10" t="n">
        <x:v>2024</x:v>
      </x:c>
      <x:c r="L122" s="10" t="str">
        <x:v>Asie-Europe</x:v>
      </x:c>
      <x:c r="M122" s="10" t="str">
        <x:v>Port 2000</x:v>
      </x:c>
      <x:c r="N122" s="10" t="str">
        <x:v>C</x:v>
      </x:c>
      <x:c r="O122" s="10" t="str">
        <x:v>https://www.marine-marchande.net/Jourlejour4/AujourleJour-537.html</x:v>
      </x:c>
      <x:c r="P122" s="10" t="str">
        <x:v>Observation portuaire datée.</x:v>
      </x:c>
    </x:row>
    <x:row r="123">
      <x:c r="A123" s="10" t="str">
        <x:v>G001</x:v>
      </x:c>
      <x:c r="B123" s="10" t="str">
        <x:v>G001</x:v>
      </x:c>
      <x:c r="C123" s="10" t="str">
        <x:v>MSC (Mediterranean Shipping Company)</x:v>
      </x:c>
      <x:c r="D123" s="10" t="str">
        <x:v>MSC (Mediterranean Shipping Company)</x:v>
      </x:c>
      <x:c r="E123" s="10" t="str">
        <x:v>Rattaché à l'entité opérationnelle</x:v>
      </x:c>
      <x:c r="F123" s="10" t="str">
        <x:v>MSC</x:v>
      </x:c>
      <x:c r="G123" s="10" t="str">
        <x:v>MSC</x:v>
      </x:c>
      <x:c r="H123" s="10" t="str">
        <x:v>MSC JENNIFER II</x:v>
      </x:c>
      <x:c r="I123" s="10"/>
      <x:c r="J123" s="10" t="str">
        <x:v>2025-06-13</x:v>
      </x:c>
      <x:c r="K123" s="10" t="n">
        <x:v>2025</x:v>
      </x:c>
      <x:c r="L123" s="10" t="str">
        <x:v>Service MSC</x:v>
      </x:c>
      <x:c r="M123" s="10" t="str">
        <x:v>Port 2000</x:v>
      </x:c>
      <x:c r="N123" s="10" t="str">
        <x:v>C</x:v>
      </x:c>
      <x:c r="O123" s="10" t="str">
        <x:v>https://www.marine-marchande.net/Jourlejour4/AujourleJour-550.html</x:v>
      </x:c>
      <x:c r="P123" s="10" t="str">
        <x:v>Observation portuaire datée.</x:v>
      </x:c>
    </x:row>
    <x:row r="124">
      <x:c r="A124" s="10" t="str">
        <x:v>G001</x:v>
      </x:c>
      <x:c r="B124" s="10" t="str">
        <x:v>G001</x:v>
      </x:c>
      <x:c r="C124" s="10" t="str">
        <x:v>MSC (Mediterranean Shipping Company)</x:v>
      </x:c>
      <x:c r="D124" s="10" t="str">
        <x:v>MSC (Mediterranean Shipping Company)</x:v>
      </x:c>
      <x:c r="E124" s="10" t="str">
        <x:v>Rattaché à l'entité opérationnelle</x:v>
      </x:c>
      <x:c r="F124" s="10" t="str">
        <x:v>MSC</x:v>
      </x:c>
      <x:c r="G124" s="10" t="str">
        <x:v>MSC</x:v>
      </x:c>
      <x:c r="H124" s="10" t="str">
        <x:v>MSC JERSEY</x:v>
      </x:c>
      <x:c r="I124" s="10" t="str">
        <x:v>9622007</x:v>
      </x:c>
      <x:c r="J124" s="10" t="str">
        <x:v>2024-06-07</x:v>
      </x:c>
      <x:c r="K124" s="10" t="n">
        <x:v>2024</x:v>
      </x:c>
      <x:c r="L124" s="10" t="str">
        <x:v>Service MSC</x:v>
      </x:c>
      <x:c r="M124" s="10" t="str">
        <x:v>Le Havre</x:v>
      </x:c>
      <x:c r="N124" s="10" t="str">
        <x:v>C</x:v>
      </x:c>
      <x:c r="O124" s="10" t="str">
        <x:v>https://www.marine-marchande.net/Jourlejour4/AujourleJour-537.html</x:v>
      </x:c>
      <x:c r="P124" s="10" t="str">
        <x:v>Mouvement portuaire daté.</x:v>
      </x:c>
    </x:row>
    <x:row r="125">
      <x:c r="A125" s="10" t="str">
        <x:v>G001</x:v>
      </x:c>
      <x:c r="B125" s="10" t="str">
        <x:v>G001</x:v>
      </x:c>
      <x:c r="C125" s="10" t="str">
        <x:v>MSC (Mediterranean Shipping Company)</x:v>
      </x:c>
      <x:c r="D125" s="10" t="str">
        <x:v>MSC (Mediterranean Shipping Company)</x:v>
      </x:c>
      <x:c r="E125" s="10" t="str">
        <x:v>Rattaché à l'entité opérationnelle</x:v>
      </x:c>
      <x:c r="F125" s="10" t="str">
        <x:v>MSC</x:v>
      </x:c>
      <x:c r="G125" s="10" t="str">
        <x:v>MSC</x:v>
      </x:c>
      <x:c r="H125" s="10" t="str">
        <x:v>MSC JOANNA</x:v>
      </x:c>
      <x:c r="I125" s="10"/>
      <x:c r="J125" s="10" t="str">
        <x:v>2023-04-12</x:v>
      </x:c>
      <x:c r="K125" s="10" t="n">
        <x:v>2023</x:v>
      </x:c>
      <x:c r="L125" s="10" t="str">
        <x:v>Transatlantique</x:v>
      </x:c>
      <x:c r="M125" s="10" t="str">
        <x:v>Le Havre</x:v>
      </x:c>
      <x:c r="N125" s="10" t="str">
        <x:v>C</x:v>
      </x:c>
      <x:c r="O125" s="10" t="str">
        <x:v>https://www.marine-marchande.net/Jourlejour4/AujourleJour-523.html</x:v>
      </x:c>
      <x:c r="P125" s="10" t="str">
        <x:v>Départ du Havre vers New York documenté.</x:v>
      </x:c>
    </x:row>
    <x:row r="126">
      <x:c r="A126" s="10" t="str">
        <x:v>G001</x:v>
      </x:c>
      <x:c r="B126" s="10" t="str">
        <x:v>G001</x:v>
      </x:c>
      <x:c r="C126" s="10" t="str">
        <x:v>MSC (Mediterranean Shipping Company)</x:v>
      </x:c>
      <x:c r="D126" s="10" t="str">
        <x:v>MSC (Mediterranean Shipping Company)</x:v>
      </x:c>
      <x:c r="E126" s="10" t="str">
        <x:v>Rattaché à l'entité opérationnelle</x:v>
      </x:c>
      <x:c r="F126" s="10" t="str">
        <x:v>MSC</x:v>
      </x:c>
      <x:c r="G126" s="10" t="str">
        <x:v>MSC</x:v>
      </x:c>
      <x:c r="H126" s="10" t="str">
        <x:v>MSC KATYAYNI VI</x:v>
      </x:c>
      <x:c r="I126" s="10"/>
      <x:c r="J126" s="10" t="str">
        <x:v>2026-03-21</x:v>
      </x:c>
      <x:c r="K126" s="10" t="n">
        <x:v>2026</x:v>
      </x:c>
      <x:c r="L126" s="10" t="str">
        <x:v>Service MSC</x:v>
      </x:c>
      <x:c r="M126" s="10" t="str">
        <x:v>Port 2000</x:v>
      </x:c>
      <x:c r="N126" s="10" t="str">
        <x:v>C</x:v>
      </x:c>
      <x:c r="O126" s="10" t="str">
        <x:v>https://www.marine-marchande.net/Jourlejour4/AujourleJour-559.html</x:v>
      </x:c>
      <x:c r="P126" s="10" t="str">
        <x:v>Observation portuaire datée.</x:v>
      </x:c>
    </x:row>
    <x:row r="127">
      <x:c r="A127" s="10" t="str">
        <x:v>G001</x:v>
      </x:c>
      <x:c r="B127" s="10" t="str">
        <x:v>G001</x:v>
      </x:c>
      <x:c r="C127" s="10" t="str">
        <x:v>MSC (Mediterranean Shipping Company)</x:v>
      </x:c>
      <x:c r="D127" s="10" t="str">
        <x:v>MSC (Mediterranean Shipping Company)</x:v>
      </x:c>
      <x:c r="E127" s="10" t="str">
        <x:v>Rattaché à l'entité opérationnelle</x:v>
      </x:c>
      <x:c r="F127" s="10" t="str">
        <x:v>MSC</x:v>
      </x:c>
      <x:c r="G127" s="10" t="str">
        <x:v>MSC</x:v>
      </x:c>
      <x:c r="H127" s="10" t="str">
        <x:v>MSC KAYLEY</x:v>
      </x:c>
      <x:c r="I127" s="10"/>
      <x:c r="J127" s="10" t="str">
        <x:v>2023-06-14</x:v>
      </x:c>
      <x:c r="K127" s="10" t="n">
        <x:v>2023</x:v>
      </x:c>
      <x:c r="L127" s="10" t="str">
        <x:v>Griffin / 2M</x:v>
      </x:c>
      <x:c r="M127" s="10" t="str">
        <x:v>Terminal de Normandie</x:v>
      </x:c>
      <x:c r="N127" s="10" t="str">
        <x:v>A1</x:v>
      </x:c>
      <x:c r="O127" s="10" t="str">
        <x:v>https://www.haropaport.com/fr/actualites/le-havre-double-escale-inaugurale-avec-les-derniers-nes-de-larmement-msc</x:v>
      </x:c>
      <x:c r="P127" s="10" t="str">
        <x:v>Escale inaugurale HAROPA.</x:v>
      </x:c>
    </x:row>
    <x:row r="128">
      <x:c r="A128" s="10" t="str">
        <x:v>G001</x:v>
      </x:c>
      <x:c r="B128" s="10" t="str">
        <x:v>G001</x:v>
      </x:c>
      <x:c r="C128" s="10" t="str">
        <x:v>MSC (Mediterranean Shipping Company)</x:v>
      </x:c>
      <x:c r="D128" s="10" t="str">
        <x:v>MSC (Mediterranean Shipping Company)</x:v>
      </x:c>
      <x:c r="E128" s="10" t="str">
        <x:v>Rattaché à l'entité opérationnelle</x:v>
      </x:c>
      <x:c r="F128" s="10" t="str">
        <x:v>MSC</x:v>
      </x:c>
      <x:c r="G128" s="10" t="str">
        <x:v>MSC</x:v>
      </x:c>
      <x:c r="H128" s="10" t="str">
        <x:v>MSC LORETO</x:v>
      </x:c>
      <x:c r="I128" s="10"/>
      <x:c r="J128" s="10" t="str">
        <x:v>2023-07</x:v>
      </x:c>
      <x:c r="K128" s="10" t="n">
        <x:v>2023</x:v>
      </x:c>
      <x:c r="L128" s="10" t="str">
        <x:v>2M / service MSC-Maersk</x:v>
      </x:c>
      <x:c r="M128" s="10" t="str">
        <x:v>Le Havre</x:v>
      </x:c>
      <x:c r="N128" s="10" t="str">
        <x:v>B2</x:v>
      </x:c>
      <x:c r="O128" s="10" t="str">
        <x:v>https://www.maersk.com/news/articles/2023/07/19/operational-update-north-europe</x:v>
      </x:c>
      <x:c r="P128" s="10" t="str">
        <x:v>Escale/induction Le Havre annoncée dans un advisory opérateur.</x:v>
      </x:c>
    </x:row>
    <x:row r="129">
      <x:c r="A129" s="10" t="str">
        <x:v>G001</x:v>
      </x:c>
      <x:c r="B129" s="10" t="str">
        <x:v>G001</x:v>
      </x:c>
      <x:c r="C129" s="10" t="str">
        <x:v>MSC (Mediterranean Shipping Company)</x:v>
      </x:c>
      <x:c r="D129" s="10" t="str">
        <x:v>MSC (Mediterranean Shipping Company)</x:v>
      </x:c>
      <x:c r="E129" s="10" t="str">
        <x:v>Rattaché à l'entité opérationnelle</x:v>
      </x:c>
      <x:c r="F129" s="10" t="str">
        <x:v>MSC</x:v>
      </x:c>
      <x:c r="G129" s="10" t="str">
        <x:v>MSC</x:v>
      </x:c>
      <x:c r="H129" s="10" t="str">
        <x:v>MSC MAEVA</x:v>
      </x:c>
      <x:c r="I129" s="10"/>
      <x:c r="J129" s="10" t="str">
        <x:v>2023-08</x:v>
      </x:c>
      <x:c r="K129" s="10" t="n">
        <x:v>2023</x:v>
      </x:c>
      <x:c r="L129" s="10" t="str">
        <x:v>2M / service MSC-Maersk</x:v>
      </x:c>
      <x:c r="M129" s="10" t="str">
        <x:v>Le Havre</x:v>
      </x:c>
      <x:c r="N129" s="10" t="str">
        <x:v>B2</x:v>
      </x:c>
      <x:c r="O129" s="10" t="str">
        <x:v>https://www.maersk.com/news/articles/2023/08/04/operational-update-north-europe</x:v>
      </x:c>
      <x:c r="P129" s="10" t="str">
        <x:v>Chargement Le Havre documenté dans un advisory opérateur.</x:v>
      </x:c>
    </x:row>
    <x:row r="130">
      <x:c r="A130" s="10" t="str">
        <x:v>G001</x:v>
      </x:c>
      <x:c r="B130" s="10" t="str">
        <x:v>G001</x:v>
      </x:c>
      <x:c r="C130" s="10" t="str">
        <x:v>MSC (Mediterranean Shipping Company)</x:v>
      </x:c>
      <x:c r="D130" s="10" t="str">
        <x:v>MSC (Mediterranean Shipping Company)</x:v>
      </x:c>
      <x:c r="E130" s="10" t="str">
        <x:v>Rattaché à l'entité opérationnelle</x:v>
      </x:c>
      <x:c r="F130" s="10" t="str">
        <x:v>MSC</x:v>
      </x:c>
      <x:c r="G130" s="10" t="str">
        <x:v>MSC</x:v>
      </x:c>
      <x:c r="H130" s="10" t="str">
        <x:v>MSC MANDY III</x:v>
      </x:c>
      <x:c r="I130" s="10"/>
      <x:c r="J130" s="10" t="str">
        <x:v>2026-03-03</x:v>
      </x:c>
      <x:c r="K130" s="10" t="n">
        <x:v>2026</x:v>
      </x:c>
      <x:c r="L130" s="10" t="str">
        <x:v>Service MSC</x:v>
      </x:c>
      <x:c r="M130" s="10" t="str">
        <x:v>Le Havre</x:v>
      </x:c>
      <x:c r="N130" s="10" t="str">
        <x:v>C</x:v>
      </x:c>
      <x:c r="O130" s="10" t="str">
        <x:v>https://www.marine-marchande.net/Jourlejour4/AujourleJour-558.html</x:v>
      </x:c>
      <x:c r="P130" s="10" t="str">
        <x:v>Observation portuaire datée.</x:v>
      </x:c>
    </x:row>
    <x:row r="131">
      <x:c r="A131" s="10" t="str">
        <x:v>G001</x:v>
      </x:c>
      <x:c r="B131" s="10" t="str">
        <x:v>G001</x:v>
      </x:c>
      <x:c r="C131" s="10" t="str">
        <x:v>MSC (Mediterranean Shipping Company)</x:v>
      </x:c>
      <x:c r="D131" s="10" t="str">
        <x:v>MSC (Mediterranean Shipping Company)</x:v>
      </x:c>
      <x:c r="E131" s="10" t="str">
        <x:v>Rattaché à l'entité opérationnelle</x:v>
      </x:c>
      <x:c r="F131" s="10" t="str">
        <x:v>MSC</x:v>
      </x:c>
      <x:c r="G131" s="10" t="str">
        <x:v>MSC</x:v>
      </x:c>
      <x:c r="H131" s="10" t="str">
        <x:v>MSC MARIELLA</x:v>
      </x:c>
      <x:c r="I131" s="10"/>
      <x:c r="J131" s="10" t="str">
        <x:v>2025-03-02</x:v>
      </x:c>
      <x:c r="K131" s="10" t="n">
        <x:v>2025</x:v>
      </x:c>
      <x:c r="L131" s="10" t="str">
        <x:v>Service MSC</x:v>
      </x:c>
      <x:c r="M131" s="10" t="str">
        <x:v>Port 2000</x:v>
      </x:c>
      <x:c r="N131" s="10" t="str">
        <x:v>C</x:v>
      </x:c>
      <x:c r="O131" s="10" t="str">
        <x:v>https://www.marine-marchande.net/Jourlejour4/AujourleJour-547.html</x:v>
      </x:c>
      <x:c r="P131" s="10" t="str">
        <x:v>Observation portuaire datée.</x:v>
      </x:c>
    </x:row>
    <x:row r="132">
      <x:c r="A132" s="10" t="str">
        <x:v>G001</x:v>
      </x:c>
      <x:c r="B132" s="10" t="str">
        <x:v>G001</x:v>
      </x:c>
      <x:c r="C132" s="10" t="str">
        <x:v>MSC (Mediterranean Shipping Company)</x:v>
      </x:c>
      <x:c r="D132" s="10" t="str">
        <x:v>MSC (Mediterranean Shipping Company)</x:v>
      </x:c>
      <x:c r="E132" s="10" t="str">
        <x:v>Rattaché à l'entité opérationnelle</x:v>
      </x:c>
      <x:c r="F132" s="10" t="str">
        <x:v>MSC</x:v>
      </x:c>
      <x:c r="G132" s="10" t="str">
        <x:v>MSC</x:v>
      </x:c>
      <x:c r="H132" s="10" t="str">
        <x:v>MSC MARINA</x:v>
      </x:c>
      <x:c r="I132" s="10" t="str">
        <x:v>9275971</x:v>
      </x:c>
      <x:c r="J132" s="10" t="str">
        <x:v>2026-09-18</x:v>
      </x:c>
      <x:c r="K132" s="10" t="n">
        <x:v>2026</x:v>
      </x:c>
      <x:c r="L132" s="10" t="str">
        <x:v>Service MSC</x:v>
      </x:c>
      <x:c r="M132" s="10" t="str">
        <x:v>TNMSC</x:v>
      </x:c>
      <x:c r="N132" s="10" t="str">
        <x:v>A1</x:v>
      </x:c>
      <x:c r="O132" s="10" t="str">
        <x:v>https://www.havre-port.com/fr/liste/129/departs-au-grand-port-maritime-du-havre</x:v>
      </x:c>
      <x:c r="P132" s="10" t="str">
        <x:v>Mouvement officiel S-WiNG/HAROPA au 18/09/2026.</x:v>
      </x:c>
    </x:row>
    <x:row r="133">
      <x:c r="A133" s="10" t="str">
        <x:v>G001</x:v>
      </x:c>
      <x:c r="B133" s="10" t="str">
        <x:v>G001</x:v>
      </x:c>
      <x:c r="C133" s="10" t="str">
        <x:v>MSC (Mediterranean Shipping Company)</x:v>
      </x:c>
      <x:c r="D133" s="10" t="str">
        <x:v>MSC (Mediterranean Shipping Company)</x:v>
      </x:c>
      <x:c r="E133" s="10" t="str">
        <x:v>Rattaché à l'entité opérationnelle</x:v>
      </x:c>
      <x:c r="F133" s="10" t="str">
        <x:v>MSC</x:v>
      </x:c>
      <x:c r="G133" s="10" t="str">
        <x:v>MSC</x:v>
      </x:c>
      <x:c r="H133" s="10" t="str">
        <x:v>MSC MARITINA V</x:v>
      </x:c>
      <x:c r="I133" s="10" t="str">
        <x:v>9294408</x:v>
      </x:c>
      <x:c r="J133" s="10" t="str">
        <x:v>2024-03-29</x:v>
      </x:c>
      <x:c r="K133" s="10" t="n">
        <x:v>2024</x:v>
      </x:c>
      <x:c r="L133" s="10" t="str">
        <x:v>Service MSC</x:v>
      </x:c>
      <x:c r="M133" s="10" t="str">
        <x:v>Le Havre</x:v>
      </x:c>
      <x:c r="N133" s="10" t="str">
        <x:v>C</x:v>
      </x:c>
      <x:c r="O133" s="10" t="str">
        <x:v>https://www.marine-marchande.net/Jourlejour4/AujourleJour-534.html</x:v>
      </x:c>
      <x:c r="P133" s="10" t="str">
        <x:v>Mouvement portuaire daté.</x:v>
      </x:c>
    </x:row>
    <x:row r="134">
      <x:c r="A134" s="10" t="str">
        <x:v>G001</x:v>
      </x:c>
      <x:c r="B134" s="10" t="str">
        <x:v>G001</x:v>
      </x:c>
      <x:c r="C134" s="10" t="str">
        <x:v>MSC (Mediterranean Shipping Company)</x:v>
      </x:c>
      <x:c r="D134" s="10" t="str">
        <x:v>MSC (Mediterranean Shipping Company)</x:v>
      </x:c>
      <x:c r="E134" s="10" t="str">
        <x:v>Rattaché à l'entité opérationnelle</x:v>
      </x:c>
      <x:c r="F134" s="10" t="str">
        <x:v>MSC</x:v>
      </x:c>
      <x:c r="G134" s="10" t="str">
        <x:v>MSC</x:v>
      </x:c>
      <x:c r="H134" s="10" t="str">
        <x:v>MSC MIA SUMMER II</x:v>
      </x:c>
      <x:c r="I134" s="10"/>
      <x:c r="J134" s="10" t="str">
        <x:v>2025-08-31</x:v>
      </x:c>
      <x:c r="K134" s="10" t="n">
        <x:v>2025</x:v>
      </x:c>
      <x:c r="L134" s="10" t="str">
        <x:v>Service MSC</x:v>
      </x:c>
      <x:c r="M134" s="10" t="str">
        <x:v>Port 2000</x:v>
      </x:c>
      <x:c r="N134" s="10" t="str">
        <x:v>C</x:v>
      </x:c>
      <x:c r="O134" s="10" t="str">
        <x:v>https://www.marine-marchande.net/Jourlejour4/AujourleJour-552.html</x:v>
      </x:c>
      <x:c r="P134" s="10" t="str">
        <x:v>Observation portuaire datée.</x:v>
      </x:c>
    </x:row>
    <x:row r="135">
      <x:c r="A135" s="10" t="str">
        <x:v>G001</x:v>
      </x:c>
      <x:c r="B135" s="10" t="str">
        <x:v>G001</x:v>
      </x:c>
      <x:c r="C135" s="10" t="str">
        <x:v>MSC (Mediterranean Shipping Company)</x:v>
      </x:c>
      <x:c r="D135" s="10" t="str">
        <x:v>MSC (Mediterranean Shipping Company)</x:v>
      </x:c>
      <x:c r="E135" s="10" t="str">
        <x:v>Rattaché à l'entité opérationnelle</x:v>
      </x:c>
      <x:c r="F135" s="10" t="str">
        <x:v>MSC</x:v>
      </x:c>
      <x:c r="G135" s="10" t="str">
        <x:v>MSC</x:v>
      </x:c>
      <x:c r="H135" s="10" t="str">
        <x:v>MSC MICHELA</x:v>
      </x:c>
      <x:c r="I135" s="10"/>
      <x:c r="J135" s="10" t="str">
        <x:v>2023-01-31</x:v>
      </x:c>
      <x:c r="K135" s="10" t="n">
        <x:v>2023</x:v>
      </x:c>
      <x:c r="L135" s="10" t="str">
        <x:v>Middle East – Europe</x:v>
      </x:c>
      <x:c r="M135" s="10" t="str">
        <x:v>Le Havre</x:v>
      </x:c>
      <x:c r="N135" s="10" t="str">
        <x:v>C</x:v>
      </x:c>
      <x:c r="O135" s="10" t="str">
        <x:v>https://www.marine-marchande.net/Jourlejour4/AujourleJour-521.html</x:v>
      </x:c>
      <x:c r="P135" s="10" t="str">
        <x:v>Observation portuaire datée.</x:v>
      </x:c>
    </x:row>
    <x:row r="136">
      <x:c r="A136" s="10" t="str">
        <x:v>G001</x:v>
      </x:c>
      <x:c r="B136" s="10" t="str">
        <x:v>G001</x:v>
      </x:c>
      <x:c r="C136" s="10" t="str">
        <x:v>MSC (Mediterranean Shipping Company)</x:v>
      </x:c>
      <x:c r="D136" s="10" t="str">
        <x:v>MSC (Mediterranean Shipping Company)</x:v>
      </x:c>
      <x:c r="E136" s="10" t="str">
        <x:v>Rattaché à l'entité opérationnelle</x:v>
      </x:c>
      <x:c r="F136" s="10" t="str">
        <x:v>MSC</x:v>
      </x:c>
      <x:c r="G136" s="10" t="str">
        <x:v>MSC</x:v>
      </x:c>
      <x:c r="H136" s="10" t="str">
        <x:v>MSC MIRJA</x:v>
      </x:c>
      <x:c r="I136" s="10"/>
      <x:c r="J136" s="10" t="str">
        <x:v>2026-02-24</x:v>
      </x:c>
      <x:c r="K136" s="10" t="n">
        <x:v>2026</x:v>
      </x:c>
      <x:c r="L136" s="10" t="str">
        <x:v>Service MSC</x:v>
      </x:c>
      <x:c r="M136" s="10" t="str">
        <x:v>Le Havre</x:v>
      </x:c>
      <x:c r="N136" s="10" t="str">
        <x:v>C</x:v>
      </x:c>
      <x:c r="O136" s="10" t="str">
        <x:v>https://www.marine-marchande.net/Jourlejour4/AujourleJour-557.html</x:v>
      </x:c>
      <x:c r="P136" s="10" t="str">
        <x:v>Observation portuaire datée ; le navire était déjà annoncé au Havre en 2023.</x:v>
      </x:c>
    </x:row>
    <x:row r="137">
      <x:c r="A137" s="10" t="str">
        <x:v>G001</x:v>
      </x:c>
      <x:c r="B137" s="10" t="str">
        <x:v>G001</x:v>
      </x:c>
      <x:c r="C137" s="10" t="str">
        <x:v>MSC (Mediterranean Shipping Company)</x:v>
      </x:c>
      <x:c r="D137" s="10" t="str">
        <x:v>MSC (Mediterranean Shipping Company)</x:v>
      </x:c>
      <x:c r="E137" s="10" t="str">
        <x:v>Rattaché à l'entité opérationnelle</x:v>
      </x:c>
      <x:c r="F137" s="10" t="str">
        <x:v>MSC</x:v>
      </x:c>
      <x:c r="G137" s="10" t="str">
        <x:v>MSC</x:v>
      </x:c>
      <x:c r="H137" s="10" t="str">
        <x:v>MSC MOMBASA</x:v>
      </x:c>
      <x:c r="I137" s="10" t="str">
        <x:v>9967275</x:v>
      </x:c>
      <x:c r="J137" s="10" t="str">
        <x:v>2025-07-21</x:v>
      </x:c>
      <x:c r="K137" s="10" t="n">
        <x:v>2025</x:v>
      </x:c>
      <x:c r="L137" s="10" t="str">
        <x:v>Service MSC</x:v>
      </x:c>
      <x:c r="M137" s="10" t="str">
        <x:v>Port 2000</x:v>
      </x:c>
      <x:c r="N137" s="10" t="str">
        <x:v>C</x:v>
      </x:c>
      <x:c r="O137" s="10" t="str">
        <x:v>https://www.marine-marchande.net/Jourlejour4/AujourleJour-551.html</x:v>
      </x:c>
      <x:c r="P137" s="10" t="str">
        <x:v>Arrivée d'Anvers documentée.</x:v>
      </x:c>
    </x:row>
    <x:row r="138">
      <x:c r="A138" s="10" t="str">
        <x:v>G001</x:v>
      </x:c>
      <x:c r="B138" s="10" t="str">
        <x:v>G001</x:v>
      </x:c>
      <x:c r="C138" s="10" t="str">
        <x:v>MSC (Mediterranean Shipping Company)</x:v>
      </x:c>
      <x:c r="D138" s="10" t="str">
        <x:v>MSC (Mediterranean Shipping Company)</x:v>
      </x:c>
      <x:c r="E138" s="10" t="str">
        <x:v>Rattaché à l'entité opérationnelle</x:v>
      </x:c>
      <x:c r="F138" s="10" t="str">
        <x:v>MSC</x:v>
      </x:c>
      <x:c r="G138" s="10" t="str">
        <x:v>MSC</x:v>
      </x:c>
      <x:c r="H138" s="10" t="str">
        <x:v>MSC NICOLA MASTRO</x:v>
      </x:c>
      <x:c r="I138" s="10" t="str">
        <x:v>9930064</x:v>
      </x:c>
      <x:c r="J138" s="10" t="str">
        <x:v>2024-07</x:v>
      </x:c>
      <x:c r="K138" s="10" t="n">
        <x:v>2024</x:v>
      </x:c>
      <x:c r="L138" s="10" t="str">
        <x:v>Service MSC</x:v>
      </x:c>
      <x:c r="M138" s="10" t="str">
        <x:v>Port 2000</x:v>
      </x:c>
      <x:c r="N138" s="10" t="str">
        <x:v>C</x:v>
      </x:c>
      <x:c r="O138" s="10" t="str">
        <x:v>https://www.marine-marchande.net/Jourlejour4/AujourleJour-539.html</x:v>
      </x:c>
      <x:c r="P138" s="10" t="str">
        <x:v>Présence havraise documentée.</x:v>
      </x:c>
    </x:row>
    <x:row r="139">
      <x:c r="A139" s="10" t="str">
        <x:v>G001</x:v>
      </x:c>
      <x:c r="B139" s="10" t="str">
        <x:v>G001</x:v>
      </x:c>
      <x:c r="C139" s="10" t="str">
        <x:v>MSC (Mediterranean Shipping Company)</x:v>
      </x:c>
      <x:c r="D139" s="10" t="str">
        <x:v>MSC (Mediterranean Shipping Company)</x:v>
      </x:c>
      <x:c r="E139" s="10" t="str">
        <x:v>Rattaché à l'entité opérationnelle</x:v>
      </x:c>
      <x:c r="F139" s="10" t="str">
        <x:v>MSC</x:v>
      </x:c>
      <x:c r="G139" s="10" t="str">
        <x:v>MSC</x:v>
      </x:c>
      <x:c r="H139" s="10" t="str">
        <x:v>MSC NIKOLETA II</x:v>
      </x:c>
      <x:c r="I139" s="10"/>
      <x:c r="J139" s="10" t="str">
        <x:v>2024-07</x:v>
      </x:c>
      <x:c r="K139" s="10" t="n">
        <x:v>2024</x:v>
      </x:c>
      <x:c r="L139" s="10" t="str">
        <x:v>Feeder MSC</x:v>
      </x:c>
      <x:c r="M139" s="10" t="str">
        <x:v>Le Havre</x:v>
      </x:c>
      <x:c r="N139" s="10" t="str">
        <x:v>C</x:v>
      </x:c>
      <x:c r="O139" s="10" t="str">
        <x:v>https://www.marine-marchande.net/Jourlejour4/AujourleJour-539.html</x:v>
      </x:c>
      <x:c r="P139" s="10" t="str">
        <x:v>Présence havraise documentée.</x:v>
      </x:c>
    </x:row>
    <x:row r="140">
      <x:c r="A140" s="10" t="str">
        <x:v>G001</x:v>
      </x:c>
      <x:c r="B140" s="10" t="str">
        <x:v>G001</x:v>
      </x:c>
      <x:c r="C140" s="10" t="str">
        <x:v>MSC (Mediterranean Shipping Company)</x:v>
      </x:c>
      <x:c r="D140" s="10" t="str">
        <x:v>MSC (Mediterranean Shipping Company)</x:v>
      </x:c>
      <x:c r="E140" s="10" t="str">
        <x:v>Rattaché à l'entité opérationnelle</x:v>
      </x:c>
      <x:c r="F140" s="10" t="str">
        <x:v>MSC</x:v>
      </x:c>
      <x:c r="G140" s="10" t="str">
        <x:v>MSC</x:v>
      </x:c>
      <x:c r="H140" s="10" t="str">
        <x:v>MSC POH LIN</x:v>
      </x:c>
      <x:c r="I140" s="10"/>
      <x:c r="J140" s="10" t="str">
        <x:v>2024-03</x:v>
      </x:c>
      <x:c r="K140" s="10" t="n">
        <x:v>2024</x:v>
      </x:c>
      <x:c r="L140" s="10" t="str">
        <x:v>ZNT / service partagé</x:v>
      </x:c>
      <x:c r="M140" s="10" t="str">
        <x:v>Le Havre</x:v>
      </x:c>
      <x:c r="N140" s="10" t="str">
        <x:v>B2</x:v>
      </x:c>
      <x:c r="O140" s="10" t="str">
        <x:v>https://www.zim.com/es/news/customer-advisory/zim-announces-changes-to-its-north-europe-tuerkiye-service-znt-line</x:v>
      </x:c>
      <x:c r="P140" s="10" t="str">
        <x:v>ZIM documente le dernier inbound Le Havre dans la transition de service.</x:v>
      </x:c>
    </x:row>
    <x:row r="141">
      <x:c r="A141" s="10" t="str">
        <x:v>G001</x:v>
      </x:c>
      <x:c r="B141" s="10" t="str">
        <x:v>G001</x:v>
      </x:c>
      <x:c r="C141" s="10" t="str">
        <x:v>MSC (Mediterranean Shipping Company)</x:v>
      </x:c>
      <x:c r="D141" s="10" t="str">
        <x:v>MSC (Mediterranean Shipping Company)</x:v>
      </x:c>
      <x:c r="E141" s="10" t="str">
        <x:v>Rattaché à l'entité opérationnelle</x:v>
      </x:c>
      <x:c r="F141" s="10" t="str">
        <x:v>MSC</x:v>
      </x:c>
      <x:c r="G141" s="10" t="str">
        <x:v>MSC</x:v>
      </x:c>
      <x:c r="H141" s="10" t="str">
        <x:v>MSC RAYSHMI</x:v>
      </x:c>
      <x:c r="I141" s="10" t="str">
        <x:v>9785457</x:v>
      </x:c>
      <x:c r="J141" s="10" t="str">
        <x:v>2025-08-17</x:v>
      </x:c>
      <x:c r="K141" s="10" t="n">
        <x:v>2025</x:v>
      </x:c>
      <x:c r="L141" s="10" t="str">
        <x:v>Service MSC</x:v>
      </x:c>
      <x:c r="M141" s="10" t="str">
        <x:v>Le Havre</x:v>
      </x:c>
      <x:c r="N141" s="10" t="str">
        <x:v>C</x:v>
      </x:c>
      <x:c r="O141" s="10" t="str">
        <x:v>https://www.marine-marchande.net/Jourlejour4/AujourleJour-551.html</x:v>
      </x:c>
      <x:c r="P141" s="10" t="str">
        <x:v>Présence havraise documentée.</x:v>
      </x:c>
    </x:row>
    <x:row r="142">
      <x:c r="A142" s="10" t="str">
        <x:v>G001</x:v>
      </x:c>
      <x:c r="B142" s="10" t="str">
        <x:v>G001</x:v>
      </x:c>
      <x:c r="C142" s="10" t="str">
        <x:v>MSC (Mediterranean Shipping Company)</x:v>
      </x:c>
      <x:c r="D142" s="10" t="str">
        <x:v>MSC (Mediterranean Shipping Company)</x:v>
      </x:c>
      <x:c r="E142" s="10" t="str">
        <x:v>Rattaché à l'entité opérationnelle</x:v>
      </x:c>
      <x:c r="F142" s="10" t="str">
        <x:v>MSC</x:v>
      </x:c>
      <x:c r="G142" s="10" t="str">
        <x:v>MSC</x:v>
      </x:c>
      <x:c r="H142" s="10" t="str">
        <x:v>MSC ROMANE</x:v>
      </x:c>
      <x:c r="I142" s="10" t="str">
        <x:v>9745653</x:v>
      </x:c>
      <x:c r="J142" s="10" t="str">
        <x:v>2024-07-04</x:v>
      </x:c>
      <x:c r="K142" s="10" t="n">
        <x:v>2024</x:v>
      </x:c>
      <x:c r="L142" s="10" t="str">
        <x:v>Service MSC</x:v>
      </x:c>
      <x:c r="M142" s="10" t="str">
        <x:v>Le Havre</x:v>
      </x:c>
      <x:c r="N142" s="10" t="str">
        <x:v>C</x:v>
      </x:c>
      <x:c r="O142" s="10" t="str">
        <x:v>https://www.marine-marchande.net/Jourlejour4/AujourleJour-539.html</x:v>
      </x:c>
      <x:c r="P142" s="10" t="str">
        <x:v>Arrivée d'Anvers documentée.</x:v>
      </x:c>
    </x:row>
    <x:row r="143">
      <x:c r="A143" s="10" t="str">
        <x:v>G001</x:v>
      </x:c>
      <x:c r="B143" s="10" t="str">
        <x:v>G001</x:v>
      </x:c>
      <x:c r="C143" s="10" t="str">
        <x:v>MSC (Mediterranean Shipping Company)</x:v>
      </x:c>
      <x:c r="D143" s="10" t="str">
        <x:v>MSC (Mediterranean Shipping Company)</x:v>
      </x:c>
      <x:c r="E143" s="10" t="str">
        <x:v>Rattaché à l'entité opérationnelle</x:v>
      </x:c>
      <x:c r="F143" s="10" t="str">
        <x:v>MSC</x:v>
      </x:c>
      <x:c r="G143" s="10" t="str">
        <x:v>MSC</x:v>
      </x:c>
      <x:c r="H143" s="10" t="str">
        <x:v>MSC ROSA</x:v>
      </x:c>
      <x:c r="I143" s="10"/>
      <x:c r="J143" s="10" t="str">
        <x:v>2024-09-16</x:v>
      </x:c>
      <x:c r="K143" s="10" t="n">
        <x:v>2024</x:v>
      </x:c>
      <x:c r="L143" s="10" t="str">
        <x:v>Asie-Europe</x:v>
      </x:c>
      <x:c r="M143" s="10" t="str">
        <x:v>Le Havre</x:v>
      </x:c>
      <x:c r="N143" s="10" t="str">
        <x:v>C</x:v>
      </x:c>
      <x:c r="O143" s="10" t="str">
        <x:v>https://www.scribd.com/document/754985247/SCHEDULES-LE-HAVRE-HONG-KONG-AOUT-2024</x:v>
      </x:c>
      <x:c r="P143" s="10" t="str">
        <x:v>Schedule commercial Le Havre–Hong Kong.</x:v>
      </x:c>
    </x:row>
    <x:row r="144">
      <x:c r="A144" s="10" t="str">
        <x:v>G001</x:v>
      </x:c>
      <x:c r="B144" s="10" t="str">
        <x:v>G001</x:v>
      </x:c>
      <x:c r="C144" s="10" t="str">
        <x:v>MSC (Mediterranean Shipping Company)</x:v>
      </x:c>
      <x:c r="D144" s="10" t="str">
        <x:v>MSC (Mediterranean Shipping Company)</x:v>
      </x:c>
      <x:c r="E144" s="10" t="str">
        <x:v>Rattaché à l'entité opérationnelle</x:v>
      </x:c>
      <x:c r="F144" s="10" t="str">
        <x:v>MSC</x:v>
      </x:c>
      <x:c r="G144" s="10" t="str">
        <x:v>MSC</x:v>
      </x:c>
      <x:c r="H144" s="10" t="str">
        <x:v>MSC ROUEN</x:v>
      </x:c>
      <x:c r="I144" s="10"/>
      <x:c r="J144" s="10" t="str">
        <x:v>2026-03-21</x:v>
      </x:c>
      <x:c r="K144" s="10" t="n">
        <x:v>2026</x:v>
      </x:c>
      <x:c r="L144" s="10" t="str">
        <x:v>Service MSC</x:v>
      </x:c>
      <x:c r="M144" s="10" t="str">
        <x:v>Port 2000</x:v>
      </x:c>
      <x:c r="N144" s="10" t="str">
        <x:v>C</x:v>
      </x:c>
      <x:c r="O144" s="10" t="str">
        <x:v>https://www.marine-marchande.net/Jourlejour4/AujourleJour-559.html</x:v>
      </x:c>
      <x:c r="P144" s="10" t="str">
        <x:v>Observation portuaire datée.</x:v>
      </x:c>
    </x:row>
    <x:row r="145">
      <x:c r="A145" s="10" t="str">
        <x:v>G001</x:v>
      </x:c>
      <x:c r="B145" s="10" t="str">
        <x:v>G001</x:v>
      </x:c>
      <x:c r="C145" s="10" t="str">
        <x:v>MSC (Mediterranean Shipping Company)</x:v>
      </x:c>
      <x:c r="D145" s="10" t="str">
        <x:v>MSC (Mediterranean Shipping Company)</x:v>
      </x:c>
      <x:c r="E145" s="10" t="str">
        <x:v>Rattaché à l'entité opérationnelle</x:v>
      </x:c>
      <x:c r="F145" s="10" t="str">
        <x:v>MSC</x:v>
      </x:c>
      <x:c r="G145" s="10" t="str">
        <x:v>MSC</x:v>
      </x:c>
      <x:c r="H145" s="10" t="str">
        <x:v>MSC SAN FRANCISCO</x:v>
      </x:c>
      <x:c r="I145" s="10" t="str">
        <x:v>9987328</x:v>
      </x:c>
      <x:c r="J145" s="10" t="str">
        <x:v>2026-04</x:v>
      </x:c>
      <x:c r="K145" s="10" t="n">
        <x:v>2026</x:v>
      </x:c>
      <x:c r="L145" s="10" t="str">
        <x:v>Service MSC</x:v>
      </x:c>
      <x:c r="M145" s="10" t="str">
        <x:v>Le Havre</x:v>
      </x:c>
      <x:c r="N145" s="10" t="str">
        <x:v>C</x:v>
      </x:c>
      <x:c r="O145" s="10" t="str">
        <x:v>https://www.marine-marchande.net/Jourlejour4/AujourleJour-559.html</x:v>
      </x:c>
      <x:c r="P145" s="10" t="str">
        <x:v>Présence havraise documentée début avril 2026.</x:v>
      </x:c>
    </x:row>
    <x:row r="146">
      <x:c r="A146" s="10" t="str">
        <x:v>G001</x:v>
      </x:c>
      <x:c r="B146" s="10" t="str">
        <x:v>G001</x:v>
      </x:c>
      <x:c r="C146" s="10" t="str">
        <x:v>MSC (Mediterranean Shipping Company)</x:v>
      </x:c>
      <x:c r="D146" s="10" t="str">
        <x:v>MSC (Mediterranean Shipping Company)</x:v>
      </x:c>
      <x:c r="E146" s="10" t="str">
        <x:v>Rattaché à l'entité opérationnelle</x:v>
      </x:c>
      <x:c r="F146" s="10" t="str">
        <x:v>MSC</x:v>
      </x:c>
      <x:c r="G146" s="10" t="str">
        <x:v>MSC</x:v>
      </x:c>
      <x:c r="H146" s="10" t="str">
        <x:v>MSC SARY</x:v>
      </x:c>
      <x:c r="I146" s="10"/>
      <x:c r="J146" s="10" t="str">
        <x:v>2026-05-08</x:v>
      </x:c>
      <x:c r="K146" s="10" t="n">
        <x:v>2026</x:v>
      </x:c>
      <x:c r="L146" s="10" t="str">
        <x:v>Service MSC</x:v>
      </x:c>
      <x:c r="M146" s="10" t="str">
        <x:v>Port 2000</x:v>
      </x:c>
      <x:c r="N146" s="10" t="str">
        <x:v>C</x:v>
      </x:c>
      <x:c r="O146" s="10" t="str">
        <x:v>https://www.marine-marchande.net/Jourlejour4/AujourleJour-561.html</x:v>
      </x:c>
      <x:c r="P146" s="10" t="str">
        <x:v>Observation portuaire datée.</x:v>
      </x:c>
    </x:row>
    <x:row r="147">
      <x:c r="A147" s="10" t="str">
        <x:v>G001</x:v>
      </x:c>
      <x:c r="B147" s="10" t="str">
        <x:v>G001</x:v>
      </x:c>
      <x:c r="C147" s="10" t="str">
        <x:v>MSC (Mediterranean Shipping Company)</x:v>
      </x:c>
      <x:c r="D147" s="10" t="str">
        <x:v>MSC (Mediterranean Shipping Company)</x:v>
      </x:c>
      <x:c r="E147" s="10" t="str">
        <x:v>Rattaché à l'entité opérationnelle</x:v>
      </x:c>
      <x:c r="F147" s="10" t="str">
        <x:v>MSC</x:v>
      </x:c>
      <x:c r="G147" s="10" t="str">
        <x:v>MSC</x:v>
      </x:c>
      <x:c r="H147" s="10" t="str">
        <x:v>MSC SINES R</x:v>
      </x:c>
      <x:c r="I147" s="10" t="str">
        <x:v>9210098</x:v>
      </x:c>
      <x:c r="J147" s="10" t="str">
        <x:v>2023-05-18</x:v>
      </x:c>
      <x:c r="K147" s="10" t="n">
        <x:v>2023</x:v>
      </x:c>
      <x:c r="L147" s="10" t="str">
        <x:v>Service MSC</x:v>
      </x:c>
      <x:c r="M147" s="10" t="str">
        <x:v>Le Havre</x:v>
      </x:c>
      <x:c r="N147" s="10" t="str">
        <x:v>C</x:v>
      </x:c>
      <x:c r="O147" s="10" t="str">
        <x:v>https://www.marine-marchande.net/Jourlejour4/AujourleJour-524.html</x:v>
      </x:c>
      <x:c r="P147" s="10" t="str">
        <x:v>Départ du Havre vers Casablanca documenté.</x:v>
      </x:c>
    </x:row>
    <x:row r="148">
      <x:c r="A148" s="10" t="str">
        <x:v>G001</x:v>
      </x:c>
      <x:c r="B148" s="10" t="str">
        <x:v>G001</x:v>
      </x:c>
      <x:c r="C148" s="10" t="str">
        <x:v>MSC (Mediterranean Shipping Company)</x:v>
      </x:c>
      <x:c r="D148" s="10" t="str">
        <x:v>MSC (Mediterranean Shipping Company)</x:v>
      </x:c>
      <x:c r="E148" s="10" t="str">
        <x:v>Rattaché à l'entité opérationnelle</x:v>
      </x:c>
      <x:c r="F148" s="10" t="str">
        <x:v>MSC</x:v>
      </x:c>
      <x:c r="G148" s="10" t="str">
        <x:v>MSC</x:v>
      </x:c>
      <x:c r="H148" s="10" t="str">
        <x:v>MSC SOFIA CELESTE</x:v>
      </x:c>
      <x:c r="I148" s="10"/>
      <x:c r="J148" s="10" t="str">
        <x:v>2024-07-21</x:v>
      </x:c>
      <x:c r="K148" s="10" t="n">
        <x:v>2024</x:v>
      </x:c>
      <x:c r="L148" s="10" t="str">
        <x:v>Service MSC</x:v>
      </x:c>
      <x:c r="M148" s="10" t="str">
        <x:v>Le Havre</x:v>
      </x:c>
      <x:c r="N148" s="10" t="str">
        <x:v>C</x:v>
      </x:c>
      <x:c r="O148" s="10" t="str">
        <x:v>https://www.marine-marchande.net/Jourlejour4/AujourleJour-539.html</x:v>
      </x:c>
      <x:c r="P148" s="10" t="str">
        <x:v>Présence havraise documentée.</x:v>
      </x:c>
    </x:row>
    <x:row r="149">
      <x:c r="A149" s="10" t="str">
        <x:v>G001</x:v>
      </x:c>
      <x:c r="B149" s="10" t="str">
        <x:v>G001</x:v>
      </x:c>
      <x:c r="C149" s="10" t="str">
        <x:v>MSC (Mediterranean Shipping Company)</x:v>
      </x:c>
      <x:c r="D149" s="10" t="str">
        <x:v>MSC (Mediterranean Shipping Company)</x:v>
      </x:c>
      <x:c r="E149" s="10" t="str">
        <x:v>Rattaché à l'entité opérationnelle</x:v>
      </x:c>
      <x:c r="F149" s="10" t="str">
        <x:v>MSC</x:v>
      </x:c>
      <x:c r="G149" s="10" t="str">
        <x:v>MSC</x:v>
      </x:c>
      <x:c r="H149" s="10" t="str">
        <x:v>MSC SVEVA</x:v>
      </x:c>
      <x:c r="I149" s="10"/>
      <x:c r="J149" s="10" t="str">
        <x:v>2024-05-15</x:v>
      </x:c>
      <x:c r="K149" s="10" t="n">
        <x:v>2024</x:v>
      </x:c>
      <x:c r="L149" s="10" t="str">
        <x:v>Service MSC</x:v>
      </x:c>
      <x:c r="M149" s="10" t="str">
        <x:v>Port 2000</x:v>
      </x:c>
      <x:c r="N149" s="10" t="str">
        <x:v>C</x:v>
      </x:c>
      <x:c r="O149" s="10" t="str">
        <x:v>https://www.marine-marchande.net/Jourlejour4/AujourleJour-536.html</x:v>
      </x:c>
      <x:c r="P149" s="10" t="str">
        <x:v>Arrivée d'Anvers et dernière escale européenne documentée.</x:v>
      </x:c>
    </x:row>
    <x:row r="150">
      <x:c r="A150" s="10" t="str">
        <x:v>G001</x:v>
      </x:c>
      <x:c r="B150" s="10" t="str">
        <x:v>G001</x:v>
      </x:c>
      <x:c r="C150" s="10" t="str">
        <x:v>MSC (Mediterranean Shipping Company)</x:v>
      </x:c>
      <x:c r="D150" s="10" t="str">
        <x:v>MSC (Mediterranean Shipping Company)</x:v>
      </x:c>
      <x:c r="E150" s="10" t="str">
        <x:v>Rattaché à l'entité opérationnelle</x:v>
      </x:c>
      <x:c r="F150" s="10" t="str">
        <x:v>MSC</x:v>
      </x:c>
      <x:c r="G150" s="10" t="str">
        <x:v>MSC</x:v>
      </x:c>
      <x:c r="H150" s="10" t="str">
        <x:v>MSC TAMARA</x:v>
      </x:c>
      <x:c r="I150" s="10" t="str">
        <x:v>9351579</x:v>
      </x:c>
      <x:c r="J150" s="10" t="str">
        <x:v>2024-03-01</x:v>
      </x:c>
      <x:c r="K150" s="10" t="n">
        <x:v>2024</x:v>
      </x:c>
      <x:c r="L150" s="10" t="str">
        <x:v>Service MSC</x:v>
      </x:c>
      <x:c r="M150" s="10" t="str">
        <x:v>Port 2000</x:v>
      </x:c>
      <x:c r="N150" s="10" t="str">
        <x:v>C</x:v>
      </x:c>
      <x:c r="O150" s="10" t="str">
        <x:v>https://www.marine-marchande.net/Jourlejour4/AujourleJour-534.html</x:v>
      </x:c>
      <x:c r="P150" s="10" t="str">
        <x:v>Arrivée de Bristol documentée.</x:v>
      </x:c>
    </x:row>
    <x:row r="151">
      <x:c r="A151" s="10" t="str">
        <x:v>G001</x:v>
      </x:c>
      <x:c r="B151" s="10" t="str">
        <x:v>G001</x:v>
      </x:c>
      <x:c r="C151" s="10" t="str">
        <x:v>MSC (Mediterranean Shipping Company)</x:v>
      </x:c>
      <x:c r="D151" s="10" t="str">
        <x:v>MSC (Mediterranean Shipping Company)</x:v>
      </x:c>
      <x:c r="E151" s="10" t="str">
        <x:v>Rattaché à l'entité opérationnelle</x:v>
      </x:c>
      <x:c r="F151" s="10" t="str">
        <x:v>MSC</x:v>
      </x:c>
      <x:c r="G151" s="10" t="str">
        <x:v>MSC</x:v>
      </x:c>
      <x:c r="H151" s="10" t="str">
        <x:v>MSC VANDYA</x:v>
      </x:c>
      <x:c r="I151" s="10"/>
      <x:c r="J151" s="10" t="str">
        <x:v>2024-09-30</x:v>
      </x:c>
      <x:c r="K151" s="10" t="n">
        <x:v>2024</x:v>
      </x:c>
      <x:c r="L151" s="10" t="str">
        <x:v>Asie-Europe</x:v>
      </x:c>
      <x:c r="M151" s="10" t="str">
        <x:v>Le Havre</x:v>
      </x:c>
      <x:c r="N151" s="10" t="str">
        <x:v>C</x:v>
      </x:c>
      <x:c r="O151" s="10" t="str">
        <x:v>https://www.scribd.com/document/754985247/SCHEDULES-LE-HAVRE-HONG-KONG-AOUT-2024</x:v>
      </x:c>
      <x:c r="P151" s="10" t="str">
        <x:v>Schedule commercial Le Havre–Hong Kong.</x:v>
      </x:c>
    </x:row>
    <x:row r="152">
      <x:c r="A152" s="10" t="str">
        <x:v>G001</x:v>
      </x:c>
      <x:c r="B152" s="10" t="str">
        <x:v>G001</x:v>
      </x:c>
      <x:c r="C152" s="10" t="str">
        <x:v>MSC (Mediterranean Shipping Company)</x:v>
      </x:c>
      <x:c r="D152" s="10" t="str">
        <x:v>MSC (Mediterranean Shipping Company)</x:v>
      </x:c>
      <x:c r="E152" s="10" t="str">
        <x:v>Rattaché à l'entité opérationnelle</x:v>
      </x:c>
      <x:c r="F152" s="10" t="str">
        <x:v>MSC</x:v>
      </x:c>
      <x:c r="G152" s="10" t="str">
        <x:v>MSC</x:v>
      </x:c>
      <x:c r="H152" s="10" t="str">
        <x:v>MSC VERACRUZ</x:v>
      </x:c>
      <x:c r="I152" s="10"/>
      <x:c r="J152" s="10" t="str">
        <x:v>2023-01-30</x:v>
      </x:c>
      <x:c r="K152" s="10" t="n">
        <x:v>2023</x:v>
      </x:c>
      <x:c r="L152" s="10" t="str">
        <x:v>Middle East – Europe</x:v>
      </x:c>
      <x:c r="M152" s="10" t="str">
        <x:v>Le Havre</x:v>
      </x:c>
      <x:c r="N152" s="10" t="str">
        <x:v>C</x:v>
      </x:c>
      <x:c r="O152" s="10" t="str">
        <x:v>https://www.marine-marchande.net/Jourlejour4/AujourleJour-521.html</x:v>
      </x:c>
      <x:c r="P152" s="10" t="str">
        <x:v>Observation portuaire datée.</x:v>
      </x:c>
    </x:row>
    <x:row r="153">
      <x:c r="A153" s="10" t="str">
        <x:v>G001</x:v>
      </x:c>
      <x:c r="B153" s="10" t="str">
        <x:v>G001</x:v>
      </x:c>
      <x:c r="C153" s="10" t="str">
        <x:v>MSC (Mediterranean Shipping Company)</x:v>
      </x:c>
      <x:c r="D153" s="10" t="str">
        <x:v>MSC (Mediterranean Shipping Company)</x:v>
      </x:c>
      <x:c r="E153" s="10" t="str">
        <x:v>Rattaché à l'entité opérationnelle</x:v>
      </x:c>
      <x:c r="F153" s="10" t="str">
        <x:v>MSC</x:v>
      </x:c>
      <x:c r="G153" s="10" t="str">
        <x:v>MSC</x:v>
      </x:c>
      <x:c r="H153" s="10" t="str">
        <x:v>MSC VICTORINE</x:v>
      </x:c>
      <x:c r="I153" s="10"/>
      <x:c r="J153" s="10" t="str">
        <x:v>2024-09-15</x:v>
      </x:c>
      <x:c r="K153" s="10" t="n">
        <x:v>2024</x:v>
      </x:c>
      <x:c r="L153" s="10" t="str">
        <x:v>Asie-Europe</x:v>
      </x:c>
      <x:c r="M153" s="10" t="str">
        <x:v>Le Havre</x:v>
      </x:c>
      <x:c r="N153" s="10" t="str">
        <x:v>C</x:v>
      </x:c>
      <x:c r="O153" s="10" t="str">
        <x:v>https://www.scribd.com/document/754985247/SCHEDULES-LE-HAVRE-HONG-KONG-AOUT-2024</x:v>
      </x:c>
      <x:c r="P153" s="10" t="str">
        <x:v>Schedule commercial Le Havre–Hong Kong.</x:v>
      </x:c>
    </x:row>
    <x:row r="154">
      <x:c r="A154" s="10" t="str">
        <x:v>G001</x:v>
      </x:c>
      <x:c r="B154" s="10" t="str">
        <x:v>G001</x:v>
      </x:c>
      <x:c r="C154" s="10" t="str">
        <x:v>MSC (Mediterranean Shipping Company)</x:v>
      </x:c>
      <x:c r="D154" s="10" t="str">
        <x:v>MSC (Mediterranean Shipping Company)</x:v>
      </x:c>
      <x:c r="E154" s="10" t="str">
        <x:v>Rattaché à l'entité opérationnelle</x:v>
      </x:c>
      <x:c r="F154" s="10" t="str">
        <x:v>MSC</x:v>
      </x:c>
      <x:c r="G154" s="10" t="str">
        <x:v>MSC / partenaire ONE</x:v>
      </x:c>
      <x:c r="H154" s="10" t="str">
        <x:v>MSC CARMELA</x:v>
      </x:c>
      <x:c r="I154" s="10"/>
      <x:c r="J154" s="10" t="str">
        <x:v>2026-06-22</x:v>
      </x:c>
      <x:c r="K154" s="10" t="n">
        <x:v>2026</x:v>
      </x:c>
      <x:c r="L154" s="10" t="str">
        <x:v>FE5 / coopération</x:v>
      </x:c>
      <x:c r="M154" s="10" t="str">
        <x:v>Le Havre</x:v>
      </x:c>
      <x:c r="N154" s="10" t="str">
        <x:v>B1</x:v>
      </x:c>
      <x:c r="O154" s="10" t="str">
        <x:v>https://ch.one-line.com/sites/g/files/lnzjqr2191/files/schedules/2026-06/Europe%20Schedule.pdf</x:v>
      </x:c>
      <x:c r="P154" s="10" t="str">
        <x:v>Schedule officiel ONE.</x:v>
      </x:c>
    </x:row>
    <x:row r="155">
      <x:c r="A155" s="10" t="str">
        <x:v>G001</x:v>
      </x:c>
      <x:c r="B155" s="10" t="str">
        <x:v>G001</x:v>
      </x:c>
      <x:c r="C155" s="10" t="str">
        <x:v>MSC (Mediterranean Shipping Company)</x:v>
      </x:c>
      <x:c r="D155" s="10" t="str">
        <x:v>MSC (Mediterranean Shipping Company)</x:v>
      </x:c>
      <x:c r="E155" s="10" t="str">
        <x:v>Rattaché à l'entité opérationnelle</x:v>
      </x:c>
      <x:c r="F155" s="10" t="str">
        <x:v>MSC</x:v>
      </x:c>
      <x:c r="G155" s="10" t="str">
        <x:v>MSC / partenaire ONE</x:v>
      </x:c>
      <x:c r="H155" s="10" t="str">
        <x:v>MSC LINZIE</x:v>
      </x:c>
      <x:c r="I155" s="10"/>
      <x:c r="J155" s="10" t="str">
        <x:v>2026-07-13</x:v>
      </x:c>
      <x:c r="K155" s="10" t="n">
        <x:v>2026</x:v>
      </x:c>
      <x:c r="L155" s="10" t="str">
        <x:v>FE5 / coopération</x:v>
      </x:c>
      <x:c r="M155" s="10" t="str">
        <x:v>Le Havre</x:v>
      </x:c>
      <x:c r="N155" s="10" t="str">
        <x:v>B1</x:v>
      </x:c>
      <x:c r="O155" s="10" t="str">
        <x:v>https://ch.one-line.com/sites/g/files/lnzjqr2191/files/schedules/2026-06/Europe%20Schedule.pdf</x:v>
      </x:c>
      <x:c r="P155" s="10" t="str">
        <x:v>Schedule officiel ONE.</x:v>
      </x:c>
    </x:row>
    <x:row r="156">
      <x:c r="A156" s="10" t="str">
        <x:v>G001</x:v>
      </x:c>
      <x:c r="B156" s="10" t="str">
        <x:v>G001</x:v>
      </x:c>
      <x:c r="C156" s="10" t="str">
        <x:v>MSC (Mediterranean Shipping Company)</x:v>
      </x:c>
      <x:c r="D156" s="10" t="str">
        <x:v>MSC (Mediterranean Shipping Company)</x:v>
      </x:c>
      <x:c r="E156" s="10" t="str">
        <x:v>Rattaché à l'entité opérationnelle</x:v>
      </x:c>
      <x:c r="F156" s="10" t="str">
        <x:v>MSC</x:v>
      </x:c>
      <x:c r="G156" s="10" t="str">
        <x:v>MSC / partenaire ONE</x:v>
      </x:c>
      <x:c r="H156" s="10" t="str">
        <x:v>MSC MARIE</x:v>
      </x:c>
      <x:c r="I156" s="10"/>
      <x:c r="J156" s="10" t="str">
        <x:v>2026-06-29</x:v>
      </x:c>
      <x:c r="K156" s="10" t="n">
        <x:v>2026</x:v>
      </x:c>
      <x:c r="L156" s="10" t="str">
        <x:v>FE5 / coopération</x:v>
      </x:c>
      <x:c r="M156" s="10" t="str">
        <x:v>Le Havre</x:v>
      </x:c>
      <x:c r="N156" s="10" t="str">
        <x:v>B1</x:v>
      </x:c>
      <x:c r="O156" s="10" t="str">
        <x:v>https://ch.one-line.com/sites/g/files/lnzjqr2191/files/schedules/2026-06/Europe%20Schedule.pdf</x:v>
      </x:c>
      <x:c r="P156" s="10" t="str">
        <x:v>Schedule officiel ONE.</x:v>
      </x:c>
    </x:row>
    <x:row r="157">
      <x:c r="A157" s="10" t="str">
        <x:v>G001</x:v>
      </x:c>
      <x:c r="B157" s="10" t="str">
        <x:v>G001</x:v>
      </x:c>
      <x:c r="C157" s="10" t="str">
        <x:v>MSC (Mediterranean Shipping Company)</x:v>
      </x:c>
      <x:c r="D157" s="10" t="str">
        <x:v>MSC (Mediterranean Shipping Company)</x:v>
      </x:c>
      <x:c r="E157" s="10" t="str">
        <x:v>Rattaché à l'entité opérationnelle</x:v>
      </x:c>
      <x:c r="F157" s="10" t="str">
        <x:v>MSC</x:v>
      </x:c>
      <x:c r="G157" s="10" t="str">
        <x:v>MSC / partenaire ONE</x:v>
      </x:c>
      <x:c r="H157" s="10" t="str">
        <x:v>MSC OLIVER</x:v>
      </x:c>
      <x:c r="I157" s="10"/>
      <x:c r="J157" s="10" t="str">
        <x:v>2026-07-20</x:v>
      </x:c>
      <x:c r="K157" s="10" t="n">
        <x:v>2026</x:v>
      </x:c>
      <x:c r="L157" s="10" t="str">
        <x:v>FE5 / coopération</x:v>
      </x:c>
      <x:c r="M157" s="10" t="str">
        <x:v>Le Havre</x:v>
      </x:c>
      <x:c r="N157" s="10" t="str">
        <x:v>B1</x:v>
      </x:c>
      <x:c r="O157" s="10" t="str">
        <x:v>https://ch.one-line.com/sites/g/files/lnzjqr2191/files/schedules/2026-06/Europe%20Schedule.pdf</x:v>
      </x:c>
      <x:c r="P157" s="10" t="str">
        <x:v>Schedule officiel ONE.</x:v>
      </x:c>
    </x:row>
    <x:row r="158">
      <x:c r="A158" s="10" t="str">
        <x:v>G001</x:v>
      </x:c>
      <x:c r="B158" s="10" t="str">
        <x:v>G001</x:v>
      </x:c>
      <x:c r="C158" s="10" t="str">
        <x:v>MSC (Mediterranean Shipping Company)</x:v>
      </x:c>
      <x:c r="D158" s="10" t="str">
        <x:v>MSC (Mediterranean Shipping Company)</x:v>
      </x:c>
      <x:c r="E158" s="10" t="str">
        <x:v>Rattaché à l'entité opérationnelle</x:v>
      </x:c>
      <x:c r="F158" s="10" t="str">
        <x:v>MSC</x:v>
      </x:c>
      <x:c r="G158" s="10" t="str">
        <x:v>MSC / partenaire ONE</x:v>
      </x:c>
      <x:c r="H158" s="10" t="str">
        <x:v>MSC ZOE</x:v>
      </x:c>
      <x:c r="I158" s="10"/>
      <x:c r="J158" s="10" t="str">
        <x:v>2026-07-06</x:v>
      </x:c>
      <x:c r="K158" s="10" t="n">
        <x:v>2026</x:v>
      </x:c>
      <x:c r="L158" s="10" t="str">
        <x:v>FE5 / coopération</x:v>
      </x:c>
      <x:c r="M158" s="10" t="str">
        <x:v>Le Havre</x:v>
      </x:c>
      <x:c r="N158" s="10" t="str">
        <x:v>B1</x:v>
      </x:c>
      <x:c r="O158" s="10" t="str">
        <x:v>https://ch.one-line.com/sites/g/files/lnzjqr2191/files/schedules/2026-06/Europe%20Schedule.pdf</x:v>
      </x:c>
      <x:c r="P158" s="10" t="str">
        <x:v>Schedule officiel ONE.</x:v>
      </x:c>
    </x:row>
    <x:row r="159">
      <x:c r="A159" s="10" t="str">
        <x:v>G001</x:v>
      </x:c>
      <x:c r="B159" s="10" t="str">
        <x:v>G001</x:v>
      </x:c>
      <x:c r="C159" s="10" t="str">
        <x:v>MSC (Mediterranean Shipping Company)</x:v>
      </x:c>
      <x:c r="D159" s="10" t="str">
        <x:v>MSC (Mediterranean Shipping Company)</x:v>
      </x:c>
      <x:c r="E159" s="10" t="str">
        <x:v>Rattaché à l'entité opérationnelle</x:v>
      </x:c>
      <x:c r="F159" s="10" t="str">
        <x:v>MSC</x:v>
      </x:c>
      <x:c r="G159" s="10" t="str">
        <x:v>MSC / partenaire Premier</x:v>
      </x:c>
      <x:c r="H159" s="10" t="str">
        <x:v>MSC ADYA</x:v>
      </x:c>
      <x:c r="I159" s="10"/>
      <x:c r="J159" s="10" t="str">
        <x:v>2026-04-25</x:v>
      </x:c>
      <x:c r="K159" s="10" t="n">
        <x:v>2026</x:v>
      </x:c>
      <x:c r="L159" s="10" t="str">
        <x:v>FE6 / coopération</x:v>
      </x:c>
      <x:c r="M159" s="10" t="str">
        <x:v>Le Havre</x:v>
      </x:c>
      <x:c r="N159" s="10" t="str">
        <x:v>B1</x:v>
      </x:c>
      <x:c r="O159" s="10" t="str">
        <x:v>https://ch.one-line.com/sites/g/files/lnzjqr2191/files/schedules/2026-02/Europe%20Schedule.pdf</x:v>
      </x:c>
      <x:c r="P159" s="10" t="str">
        <x:v>ETA Le Havre publiée sur schedule officiel ONE.</x:v>
      </x:c>
    </x:row>
    <x:row r="160">
      <x:c r="A160" s="10" t="str">
        <x:v>G001</x:v>
      </x:c>
      <x:c r="B160" s="10" t="str">
        <x:v>G001</x:v>
      </x:c>
      <x:c r="C160" s="10" t="str">
        <x:v>MSC (Mediterranean Shipping Company)</x:v>
      </x:c>
      <x:c r="D160" s="10" t="str">
        <x:v>MSC (Mediterranean Shipping Company)</x:v>
      </x:c>
      <x:c r="E160" s="10" t="str">
        <x:v>Rattaché à l'entité opérationnelle</x:v>
      </x:c>
      <x:c r="F160" s="10" t="str">
        <x:v>MSC</x:v>
      </x:c>
      <x:c r="G160" s="10" t="str">
        <x:v>MSC / partenaire Premier</x:v>
      </x:c>
      <x:c r="H160" s="10" t="str">
        <x:v>MSC ANITA</x:v>
      </x:c>
      <x:c r="I160" s="10"/>
      <x:c r="J160" s="10" t="str">
        <x:v>2026-04-11</x:v>
      </x:c>
      <x:c r="K160" s="10" t="n">
        <x:v>2026</x:v>
      </x:c>
      <x:c r="L160" s="10" t="str">
        <x:v>FE6 / coopération</x:v>
      </x:c>
      <x:c r="M160" s="10" t="str">
        <x:v>Le Havre</x:v>
      </x:c>
      <x:c r="N160" s="10" t="str">
        <x:v>B1</x:v>
      </x:c>
      <x:c r="O160" s="10" t="str">
        <x:v>https://ch.one-line.com/sites/g/files/lnzjqr2191/files/schedules/2026-02/Nbo-Mar-Schedule-2026.pdf</x:v>
      </x:c>
      <x:c r="P160" s="10" t="str">
        <x:v>ETA Le Havre publiée sur schedule officiel ONE.</x:v>
      </x:c>
    </x:row>
    <x:row r="161">
      <x:c r="A161" s="10" t="str">
        <x:v>G001</x:v>
      </x:c>
      <x:c r="B161" s="10" t="str">
        <x:v>G001</x:v>
      </x:c>
      <x:c r="C161" s="10" t="str">
        <x:v>MSC (Mediterranean Shipping Company)</x:v>
      </x:c>
      <x:c r="D161" s="10" t="str">
        <x:v>MSC (Mediterranean Shipping Company)</x:v>
      </x:c>
      <x:c r="E161" s="10" t="str">
        <x:v>Rattaché à l'entité opérationnelle</x:v>
      </x:c>
      <x:c r="F161" s="10" t="str">
        <x:v>MSC</x:v>
      </x:c>
      <x:c r="G161" s="10" t="str">
        <x:v>MSC / partenaire Premier</x:v>
      </x:c>
      <x:c r="H161" s="10" t="str">
        <x:v>MSC ARIA</x:v>
      </x:c>
      <x:c r="I161" s="10"/>
      <x:c r="J161" s="10" t="str">
        <x:v>2026-04-18</x:v>
      </x:c>
      <x:c r="K161" s="10" t="n">
        <x:v>2026</x:v>
      </x:c>
      <x:c r="L161" s="10" t="str">
        <x:v>FE6 / coopération</x:v>
      </x:c>
      <x:c r="M161" s="10" t="str">
        <x:v>Le Havre</x:v>
      </x:c>
      <x:c r="N161" s="10" t="str">
        <x:v>B1</x:v>
      </x:c>
      <x:c r="O161" s="10" t="str">
        <x:v>https://ch.one-line.com/sites/g/files/lnzjqr2191/files/schedules/2026-02/Nbo-Mar-Schedule-2026.pdf</x:v>
      </x:c>
      <x:c r="P161" s="10" t="str">
        <x:v>ETA Le Havre publiée sur schedule officiel ONE.</x:v>
      </x:c>
    </x:row>
    <x:row r="162">
      <x:c r="A162" s="10" t="str">
        <x:v>G001</x:v>
      </x:c>
      <x:c r="B162" s="10" t="str">
        <x:v>G001</x:v>
      </x:c>
      <x:c r="C162" s="10" t="str">
        <x:v>MSC (Mediterranean Shipping Company)</x:v>
      </x:c>
      <x:c r="D162" s="10" t="str">
        <x:v>MSC (Mediterranean Shipping Company)</x:v>
      </x:c>
      <x:c r="E162" s="10" t="str">
        <x:v>Rattaché à l'entité opérationnelle</x:v>
      </x:c>
      <x:c r="F162" s="10" t="str">
        <x:v>MSC</x:v>
      </x:c>
      <x:c r="G162" s="10" t="str">
        <x:v>MSC / partenaire Premier</x:v>
      </x:c>
      <x:c r="H162" s="10" t="str">
        <x:v>MSC AUDREY</x:v>
      </x:c>
      <x:c r="I162" s="10"/>
      <x:c r="J162" s="10" t="str">
        <x:v>2025-06-03</x:v>
      </x:c>
      <x:c r="K162" s="10" t="n">
        <x:v>2025</x:v>
      </x:c>
      <x:c r="L162" s="10" t="str">
        <x:v>Service partagé ONE/Premier</x:v>
      </x:c>
      <x:c r="M162" s="10" t="str">
        <x:v>Le Havre</x:v>
      </x:c>
      <x:c r="N162" s="10" t="str">
        <x:v>B1</x:v>
      </x:c>
      <x:c r="O162" s="10" t="str">
        <x:v>https://ch.one-line.com/sites/g/files/lnzjqr2191/files/schedules/2025-05/Europe%20Schedule.pdf</x:v>
      </x:c>
      <x:c r="P162" s="10" t="str">
        <x:v>Schedule officiel ONE.</x:v>
      </x:c>
    </x:row>
    <x:row r="163">
      <x:c r="A163" s="10" t="str">
        <x:v>G001</x:v>
      </x:c>
      <x:c r="B163" s="10" t="str">
        <x:v>G001</x:v>
      </x:c>
      <x:c r="C163" s="10" t="str">
        <x:v>MSC (Mediterranean Shipping Company)</x:v>
      </x:c>
      <x:c r="D163" s="10" t="str">
        <x:v>MSC (Mediterranean Shipping Company)</x:v>
      </x:c>
      <x:c r="E163" s="10" t="str">
        <x:v>Rattaché à l'entité opérationnelle</x:v>
      </x:c>
      <x:c r="F163" s="10" t="str">
        <x:v>MSC</x:v>
      </x:c>
      <x:c r="G163" s="10" t="str">
        <x:v>MSC / partenaire Premier</x:v>
      </x:c>
      <x:c r="H163" s="10" t="str">
        <x:v>MSC CAMILLE</x:v>
      </x:c>
      <x:c r="I163" s="10"/>
      <x:c r="J163" s="10" t="str">
        <x:v>2026-05-02</x:v>
      </x:c>
      <x:c r="K163" s="10" t="n">
        <x:v>2026</x:v>
      </x:c>
      <x:c r="L163" s="10" t="str">
        <x:v>FE6 / coopération</x:v>
      </x:c>
      <x:c r="M163" s="10" t="str">
        <x:v>Le Havre</x:v>
      </x:c>
      <x:c r="N163" s="10" t="str">
        <x:v>B1</x:v>
      </x:c>
      <x:c r="O163" s="10" t="str">
        <x:v>https://ch.one-line.com/sites/g/files/lnzjqr2191/files/schedules/2026-02/Nbo-Mar-Schedule-2026.pdf</x:v>
      </x:c>
      <x:c r="P163" s="10" t="str">
        <x:v>ETA Le Havre publiée sur schedule officiel ONE.</x:v>
      </x:c>
    </x:row>
    <x:row r="164">
      <x:c r="A164" s="10" t="str">
        <x:v>G001</x:v>
      </x:c>
      <x:c r="B164" s="10" t="str">
        <x:v>G001</x:v>
      </x:c>
      <x:c r="C164" s="10" t="str">
        <x:v>MSC (Mediterranean Shipping Company)</x:v>
      </x:c>
      <x:c r="D164" s="10" t="str">
        <x:v>MSC (Mediterranean Shipping Company)</x:v>
      </x:c>
      <x:c r="E164" s="10" t="str">
        <x:v>Rattaché à l'entité opérationnelle</x:v>
      </x:c>
      <x:c r="F164" s="10" t="str">
        <x:v>MSC</x:v>
      </x:c>
      <x:c r="G164" s="10" t="str">
        <x:v>MSC / partenaire Premier</x:v>
      </x:c>
      <x:c r="H164" s="10" t="str">
        <x:v>MSC GERMANY</x:v>
      </x:c>
      <x:c r="I164" s="10"/>
      <x:c r="J164" s="10" t="str">
        <x:v>2025-05-28</x:v>
      </x:c>
      <x:c r="K164" s="10" t="n">
        <x:v>2025</x:v>
      </x:c>
      <x:c r="L164" s="10" t="str">
        <x:v>Service partagé ONE/Premier</x:v>
      </x:c>
      <x:c r="M164" s="10" t="str">
        <x:v>Le Havre</x:v>
      </x:c>
      <x:c r="N164" s="10" t="str">
        <x:v>B1</x:v>
      </x:c>
      <x:c r="O164" s="10" t="str">
        <x:v>https://ch.one-line.com/sites/g/files/lnzjqr2191/files/schedules/2025-04/Europe%20Schedule.pdf</x:v>
      </x:c>
      <x:c r="P164" s="10" t="str">
        <x:v>Schedule officiel ONE.</x:v>
      </x:c>
    </x:row>
    <x:row r="165">
      <x:c r="A165" s="10" t="str">
        <x:v>G001</x:v>
      </x:c>
      <x:c r="B165" s="10" t="str">
        <x:v>G001</x:v>
      </x:c>
      <x:c r="C165" s="10" t="str">
        <x:v>MSC (Mediterranean Shipping Company)</x:v>
      </x:c>
      <x:c r="D165" s="10" t="str">
        <x:v>MSC (Mediterranean Shipping Company)</x:v>
      </x:c>
      <x:c r="E165" s="10" t="str">
        <x:v>Rattaché à l'entité opérationnelle</x:v>
      </x:c>
      <x:c r="F165" s="10" t="str">
        <x:v>MSC</x:v>
      </x:c>
      <x:c r="G165" s="10" t="str">
        <x:v>MSC / partenaire Premier</x:v>
      </x:c>
      <x:c r="H165" s="10" t="str">
        <x:v>MSC GRACE</x:v>
      </x:c>
      <x:c r="I165" s="10"/>
      <x:c r="J165" s="10" t="str">
        <x:v>2026-04-25</x:v>
      </x:c>
      <x:c r="K165" s="10" t="n">
        <x:v>2026</x:v>
      </x:c>
      <x:c r="L165" s="10" t="str">
        <x:v>FE6 / coopération</x:v>
      </x:c>
      <x:c r="M165" s="10" t="str">
        <x:v>Le Havre</x:v>
      </x:c>
      <x:c r="N165" s="10" t="str">
        <x:v>B1</x:v>
      </x:c>
      <x:c r="O165" s="10" t="str">
        <x:v>https://ch.one-line.com/sites/g/files/lnzjqr2191/files/schedules/2026-02/Nbo-Mar-Schedule-2026.pdf</x:v>
      </x:c>
      <x:c r="P165" s="10" t="str">
        <x:v>ETA Le Havre publiée sur schedule officiel ONE.</x:v>
      </x:c>
    </x:row>
    <x:row r="166">
      <x:c r="A166" s="10" t="str">
        <x:v>G001</x:v>
      </x:c>
      <x:c r="B166" s="10" t="str">
        <x:v>G001</x:v>
      </x:c>
      <x:c r="C166" s="10" t="str">
        <x:v>MSC (Mediterranean Shipping Company)</x:v>
      </x:c>
      <x:c r="D166" s="10" t="str">
        <x:v>MSC (Mediterranean Shipping Company)</x:v>
      </x:c>
      <x:c r="E166" s="10" t="str">
        <x:v>Rattaché à l'entité opérationnelle</x:v>
      </x:c>
      <x:c r="F166" s="10" t="str">
        <x:v>MSC</x:v>
      </x:c>
      <x:c r="G166" s="10" t="str">
        <x:v>MSC / partenaire Premier</x:v>
      </x:c>
      <x:c r="H166" s="10" t="str">
        <x:v>MSC IDANIA M</x:v>
      </x:c>
      <x:c r="I166" s="10"/>
      <x:c r="J166" s="10" t="str">
        <x:v>2025-05-20</x:v>
      </x:c>
      <x:c r="K166" s="10" t="n">
        <x:v>2025</x:v>
      </x:c>
      <x:c r="L166" s="10" t="str">
        <x:v>Service partagé ONE/Premier</x:v>
      </x:c>
      <x:c r="M166" s="10" t="str">
        <x:v>Le Havre</x:v>
      </x:c>
      <x:c r="N166" s="10" t="str">
        <x:v>B1</x:v>
      </x:c>
      <x:c r="O166" s="10" t="str">
        <x:v>https://ch.one-line.com/sites/g/files/lnzjqr2191/files/schedules/2025-04/Europe%20Schedule.pdf</x:v>
      </x:c>
      <x:c r="P166" s="10" t="str">
        <x:v>Schedule officiel ONE.</x:v>
      </x:c>
    </x:row>
    <x:row r="167">
      <x:c r="A167" s="10" t="str">
        <x:v>G001</x:v>
      </x:c>
      <x:c r="B167" s="10" t="str">
        <x:v>G001</x:v>
      </x:c>
      <x:c r="C167" s="10" t="str">
        <x:v>MSC (Mediterranean Shipping Company)</x:v>
      </x:c>
      <x:c r="D167" s="10" t="str">
        <x:v>MSC (Mediterranean Shipping Company)</x:v>
      </x:c>
      <x:c r="E167" s="10" t="str">
        <x:v>Rattaché à l'entité opérationnelle</x:v>
      </x:c>
      <x:c r="F167" s="10" t="str">
        <x:v>MSC</x:v>
      </x:c>
      <x:c r="G167" s="10" t="str">
        <x:v>MSC / partenaire Premier</x:v>
      </x:c>
      <x:c r="H167" s="10" t="str">
        <x:v>MSC ISCHIA</x:v>
      </x:c>
      <x:c r="I167" s="10"/>
      <x:c r="J167" s="10" t="str">
        <x:v>2026-05-04</x:v>
      </x:c>
      <x:c r="K167" s="10" t="n">
        <x:v>2026</x:v>
      </x:c>
      <x:c r="L167" s="10" t="str">
        <x:v>FE / coopération</x:v>
      </x:c>
      <x:c r="M167" s="10" t="str">
        <x:v>Le Havre</x:v>
      </x:c>
      <x:c r="N167" s="10" t="str">
        <x:v>B1</x:v>
      </x:c>
      <x:c r="O167" s="10" t="str">
        <x:v>https://ch.one-line.com/sites/g/files/lnzjqr2191/files/schedules/2026-02/Qdo-Mar-Schedule-2026_0.pdf</x:v>
      </x:c>
      <x:c r="P167" s="10" t="str">
        <x:v>ETA Le Havre publiée sur schedule officiel ONE.</x:v>
      </x:c>
    </x:row>
    <x:row r="168">
      <x:c r="A168" s="10" t="str">
        <x:v>G001</x:v>
      </x:c>
      <x:c r="B168" s="10" t="str">
        <x:v>G001</x:v>
      </x:c>
      <x:c r="C168" s="10" t="str">
        <x:v>MSC (Mediterranean Shipping Company)</x:v>
      </x:c>
      <x:c r="D168" s="10" t="str">
        <x:v>MSC (Mediterranean Shipping Company)</x:v>
      </x:c>
      <x:c r="E168" s="10" t="str">
        <x:v>Rattaché à l'entité opérationnelle</x:v>
      </x:c>
      <x:c r="F168" s="10" t="str">
        <x:v>MSC</x:v>
      </x:c>
      <x:c r="G168" s="10" t="str">
        <x:v>MSC / partenaire Premier</x:v>
      </x:c>
      <x:c r="H168" s="10" t="str">
        <x:v>MSC MARIAGRAZIA</x:v>
      </x:c>
      <x:c r="I168" s="10"/>
      <x:c r="J168" s="10" t="str">
        <x:v>2025-06-15</x:v>
      </x:c>
      <x:c r="K168" s="10" t="n">
        <x:v>2025</x:v>
      </x:c>
      <x:c r="L168" s="10" t="str">
        <x:v>Service partagé ONE/Premier</x:v>
      </x:c>
      <x:c r="M168" s="10" t="str">
        <x:v>Le Havre</x:v>
      </x:c>
      <x:c r="N168" s="10" t="str">
        <x:v>B1</x:v>
      </x:c>
      <x:c r="O168" s="10" t="str">
        <x:v>https://ch.one-line.com/sites/g/files/lnzjqr2191/files/schedules/2025-05/Europe%20Schedule.pdf</x:v>
      </x:c>
      <x:c r="P168" s="10" t="str">
        <x:v>Schedule officiel ONE.</x:v>
      </x:c>
    </x:row>
    <x:row r="169">
      <x:c r="A169" s="10" t="str">
        <x:v>G001</x:v>
      </x:c>
      <x:c r="B169" s="10" t="str">
        <x:v>G001</x:v>
      </x:c>
      <x:c r="C169" s="10" t="str">
        <x:v>MSC (Mediterranean Shipping Company)</x:v>
      </x:c>
      <x:c r="D169" s="10" t="str">
        <x:v>MSC (Mediterranean Shipping Company)</x:v>
      </x:c>
      <x:c r="E169" s="10" t="str">
        <x:v>Rattaché à l'entité opérationnelle</x:v>
      </x:c>
      <x:c r="F169" s="10" t="str">
        <x:v>MSC</x:v>
      </x:c>
      <x:c r="G169" s="10" t="str">
        <x:v>MSC / partenaire Premier</x:v>
      </x:c>
      <x:c r="H169" s="10" t="str">
        <x:v>MSC MARTINA MARIA</x:v>
      </x:c>
      <x:c r="I169" s="10"/>
      <x:c r="J169" s="10" t="str">
        <x:v>2025-05-02</x:v>
      </x:c>
      <x:c r="K169" s="10" t="n">
        <x:v>2025</x:v>
      </x:c>
      <x:c r="L169" s="10" t="str">
        <x:v>Service partagé ONE/Premier</x:v>
      </x:c>
      <x:c r="M169" s="10" t="str">
        <x:v>Le Havre</x:v>
      </x:c>
      <x:c r="N169" s="10" t="str">
        <x:v>B1</x:v>
      </x:c>
      <x:c r="O169" s="10" t="str">
        <x:v>https://ch.one-line.com/sites/g/files/lnzjqr2191/files/schedules/2025-04/Europe%20Schedule.pdf</x:v>
      </x:c>
      <x:c r="P169" s="10" t="str">
        <x:v>Schedule officiel ONE.</x:v>
      </x:c>
    </x:row>
    <x:row r="170">
      <x:c r="A170" s="10" t="str">
        <x:v>G001</x:v>
      </x:c>
      <x:c r="B170" s="10" t="str">
        <x:v>G001</x:v>
      </x:c>
      <x:c r="C170" s="10" t="str">
        <x:v>MSC (Mediterranean Shipping Company)</x:v>
      </x:c>
      <x:c r="D170" s="10" t="str">
        <x:v>MSC (Mediterranean Shipping Company)</x:v>
      </x:c>
      <x:c r="E170" s="10" t="str">
        <x:v>Rattaché à l'entité opérationnelle</x:v>
      </x:c>
      <x:c r="F170" s="10" t="str">
        <x:v>MSC</x:v>
      </x:c>
      <x:c r="G170" s="10" t="str">
        <x:v>MSC / partenaire Premier</x:v>
      </x:c>
      <x:c r="H170" s="10" t="str">
        <x:v>MSC MATILDE</x:v>
      </x:c>
      <x:c r="I170" s="10"/>
      <x:c r="J170" s="10" t="str">
        <x:v>2025-06-25</x:v>
      </x:c>
      <x:c r="K170" s="10" t="n">
        <x:v>2025</x:v>
      </x:c>
      <x:c r="L170" s="10" t="str">
        <x:v>Service partagé ONE/Premier</x:v>
      </x:c>
      <x:c r="M170" s="10" t="str">
        <x:v>Le Havre</x:v>
      </x:c>
      <x:c r="N170" s="10" t="str">
        <x:v>B1</x:v>
      </x:c>
      <x:c r="O170" s="10" t="str">
        <x:v>https://ch.one-line.com/sites/g/files/lnzjqr2191/files/schedules/2025-05/Europe%20Schedule.pdf</x:v>
      </x:c>
      <x:c r="P170" s="10" t="str">
        <x:v>Schedule officiel ONE ; orthographe parfois erronée dans certains tableaux.</x:v>
      </x:c>
    </x:row>
    <x:row r="171">
      <x:c r="A171" s="10" t="str">
        <x:v>G001</x:v>
      </x:c>
      <x:c r="B171" s="10" t="str">
        <x:v>G001</x:v>
      </x:c>
      <x:c r="C171" s="10" t="str">
        <x:v>MSC (Mediterranean Shipping Company)</x:v>
      </x:c>
      <x:c r="D171" s="10" t="str">
        <x:v>MSC (Mediterranean Shipping Company)</x:v>
      </x:c>
      <x:c r="E171" s="10" t="str">
        <x:v>Rattaché à l'entité opérationnelle</x:v>
      </x:c>
      <x:c r="F171" s="10" t="str">
        <x:v>MSC</x:v>
      </x:c>
      <x:c r="G171" s="10" t="str">
        <x:v>MSC / partenaire Premier</x:v>
      </x:c>
      <x:c r="H171" s="10" t="str">
        <x:v>MSC MONICA CRISTINA</x:v>
      </x:c>
      <x:c r="I171" s="10"/>
      <x:c r="J171" s="10" t="str">
        <x:v>2025-05-12</x:v>
      </x:c>
      <x:c r="K171" s="10" t="n">
        <x:v>2025</x:v>
      </x:c>
      <x:c r="L171" s="10" t="str">
        <x:v>Service partagé ONE/Premier</x:v>
      </x:c>
      <x:c r="M171" s="10" t="str">
        <x:v>Le Havre</x:v>
      </x:c>
      <x:c r="N171" s="10" t="str">
        <x:v>B1</x:v>
      </x:c>
      <x:c r="O171" s="10" t="str">
        <x:v>https://ch.one-line.com/sites/g/files/lnzjqr2191/files/schedules/2025-04/Europe%20Schedule.pdf</x:v>
      </x:c>
      <x:c r="P171" s="10" t="str">
        <x:v>Schedule officiel ONE.</x:v>
      </x:c>
    </x:row>
    <x:row r="172">
      <x:c r="A172" s="10" t="str">
        <x:v>G001</x:v>
      </x:c>
      <x:c r="B172" s="10" t="str">
        <x:v>G001</x:v>
      </x:c>
      <x:c r="C172" s="10" t="str">
        <x:v>MSC (Mediterranean Shipping Company)</x:v>
      </x:c>
      <x:c r="D172" s="10" t="str">
        <x:v>MSC (Mediterranean Shipping Company)</x:v>
      </x:c>
      <x:c r="E172" s="10" t="str">
        <x:v>Rattaché à l'entité opérationnelle</x:v>
      </x:c>
      <x:c r="F172" s="10" t="str">
        <x:v>MSC</x:v>
      </x:c>
      <x:c r="G172" s="10" t="str">
        <x:v>MSC / partenaire Premier</x:v>
      </x:c>
      <x:c r="H172" s="10" t="str">
        <x:v>MSC NEW YORK</x:v>
      </x:c>
      <x:c r="I172" s="10"/>
      <x:c r="J172" s="10" t="str">
        <x:v>2025-06-04</x:v>
      </x:c>
      <x:c r="K172" s="10" t="n">
        <x:v>2025</x:v>
      </x:c>
      <x:c r="L172" s="10" t="str">
        <x:v>Service partagé ONE/Premier</x:v>
      </x:c>
      <x:c r="M172" s="10" t="str">
        <x:v>Le Havre</x:v>
      </x:c>
      <x:c r="N172" s="10" t="str">
        <x:v>B1</x:v>
      </x:c>
      <x:c r="O172" s="10" t="str">
        <x:v>https://ch.one-line.com/sites/g/files/lnzjqr2191/files/schedules/2025-05/Europe%20Schedule.pdf</x:v>
      </x:c>
      <x:c r="P172" s="10" t="str">
        <x:v>Schedule officiel ONE.</x:v>
      </x:c>
    </x:row>
    <x:row r="173">
      <x:c r="A173" s="10" t="str">
        <x:v>G001</x:v>
      </x:c>
      <x:c r="B173" s="10" t="str">
        <x:v>G001</x:v>
      </x:c>
      <x:c r="C173" s="10" t="str">
        <x:v>MSC (Mediterranean Shipping Company)</x:v>
      </x:c>
      <x:c r="D173" s="10" t="str">
        <x:v>MSC (Mediterranean Shipping Company)</x:v>
      </x:c>
      <x:c r="E173" s="10" t="str">
        <x:v>Rattaché à l'entité opérationnelle</x:v>
      </x:c>
      <x:c r="F173" s="10" t="str">
        <x:v>MSC</x:v>
      </x:c>
      <x:c r="G173" s="10" t="str">
        <x:v>MSC / partenaire Premier</x:v>
      </x:c>
      <x:c r="H173" s="10" t="str">
        <x:v>MSC TAYLOR</x:v>
      </x:c>
      <x:c r="I173" s="10"/>
      <x:c r="J173" s="10" t="str">
        <x:v>2025-05-01</x:v>
      </x:c>
      <x:c r="K173" s="10" t="n">
        <x:v>2025</x:v>
      </x:c>
      <x:c r="L173" s="10" t="str">
        <x:v>Service partagé ONE/Premier</x:v>
      </x:c>
      <x:c r="M173" s="10" t="str">
        <x:v>Le Havre</x:v>
      </x:c>
      <x:c r="N173" s="10" t="str">
        <x:v>B1</x:v>
      </x:c>
      <x:c r="O173" s="10" t="str">
        <x:v>https://ch.one-line.com/sites/g/files/lnzjqr2191/files/schedules/2025-04/Europe%20Schedule.pdf</x:v>
      </x:c>
      <x:c r="P173" s="10" t="str">
        <x:v>Schedule officiel ONE.</x:v>
      </x:c>
    </x:row>
    <x:row r="174">
      <x:c r="A174" s="10" t="str">
        <x:v>G001</x:v>
      </x:c>
      <x:c r="B174" s="10" t="str">
        <x:v>G001</x:v>
      </x:c>
      <x:c r="C174" s="10" t="str">
        <x:v>MSC (Mediterranean Shipping Company)</x:v>
      </x:c>
      <x:c r="D174" s="10" t="str">
        <x:v>MSC (Mediterranean Shipping Company)</x:v>
      </x:c>
      <x:c r="E174" s="10" t="str">
        <x:v>Rattaché à l'entité opérationnelle</x:v>
      </x:c>
      <x:c r="F174" s="10" t="str">
        <x:v>MSC</x:v>
      </x:c>
      <x:c r="G174" s="10" t="str">
        <x:v>MSC / partenaire Premier</x:v>
      </x:c>
      <x:c r="H174" s="10" t="str">
        <x:v>MSC TERESA</x:v>
      </x:c>
      <x:c r="I174" s="10"/>
      <x:c r="J174" s="10" t="str">
        <x:v>2025-06-20</x:v>
      </x:c>
      <x:c r="K174" s="10" t="n">
        <x:v>2025</x:v>
      </x:c>
      <x:c r="L174" s="10" t="str">
        <x:v>Service partagé ONE/Premier</x:v>
      </x:c>
      <x:c r="M174" s="10" t="str">
        <x:v>Le Havre</x:v>
      </x:c>
      <x:c r="N174" s="10" t="str">
        <x:v>B1</x:v>
      </x:c>
      <x:c r="O174" s="10" t="str">
        <x:v>https://ch.one-line.com/sites/g/files/lnzjqr2191/files/schedules/2025-05/Europe%20Schedule.pdf</x:v>
      </x:c>
      <x:c r="P174" s="10" t="str">
        <x:v>Schedule officiel ONE.</x:v>
      </x:c>
    </x:row>
    <x:row r="175">
      <x:c r="A175" s="10" t="str">
        <x:v>G001</x:v>
      </x:c>
      <x:c r="B175" s="10" t="str">
        <x:v>G001-F02</x:v>
      </x:c>
      <x:c r="C175" s="10" t="str">
        <x:v>MSC (Mediterranean Shipping Company)</x:v>
      </x:c>
      <x:c r="D175" s="10" t="str">
        <x:v>WEC Lines</x:v>
      </x:c>
      <x:c r="E175" s="10" t="str">
        <x:v>Rattaché à l'entité opérationnelle</x:v>
      </x:c>
      <x:c r="F175" s="10" t="str">
        <x:v>WEC Lines</x:v>
      </x:c>
      <x:c r="G175" s="10" t="str">
        <x:v>WEC Lines</x:v>
      </x:c>
      <x:c r="H175" s="10" t="str">
        <x:v>TROUPER</x:v>
      </x:c>
      <x:c r="I175" s="10"/>
      <x:c r="J175" s="10" t="str">
        <x:v>2025-07-31</x:v>
      </x:c>
      <x:c r="K175" s="10" t="n">
        <x:v>2025</x:v>
      </x:c>
      <x:c r="L175" s="10" t="str">
        <x:v>Zeebruges–Dublin–Le Havre–Zeebruges</x:v>
      </x:c>
      <x:c r="M175" s="10" t="str">
        <x:v>TNMSC</x:v>
      </x:c>
      <x:c r="N175" s="10" t="str">
        <x:v>A1</x:v>
      </x:c>
      <x:c r="O175" s="10" t="str">
        <x:v>https://www.haropaport.com/fr/actualites/wec-lines-deploie-une-nouvelle-rotation-shortsea-integrant-le-havre</x:v>
      </x:c>
      <x:c r="P175" s="10" t="str">
        <x:v>Première escale du nouveau service.</x:v>
      </x:c>
    </x:row>
    <x:row r="176">
      <x:c r="A176" s="10" t="str">
        <x:v>G001</x:v>
      </x:c>
      <x:c r="B176" s="10" t="str">
        <x:v>G001-F02</x:v>
      </x:c>
      <x:c r="C176" s="10" t="str">
        <x:v>MSC (Mediterranean Shipping Company)</x:v>
      </x:c>
      <x:c r="D176" s="10" t="str">
        <x:v>WEC Lines</x:v>
      </x:c>
      <x:c r="E176" s="10" t="str">
        <x:v>Rattaché à l'entité opérationnelle</x:v>
      </x:c>
      <x:c r="F176" s="10" t="str">
        <x:v>WEC Lines</x:v>
      </x:c>
      <x:c r="G176" s="10" t="str">
        <x:v>WEC Lines</x:v>
      </x:c>
      <x:c r="H176" s="10" t="str">
        <x:v>WEC VAN EYCK</x:v>
      </x:c>
      <x:c r="I176" s="10" t="str">
        <x:v>9365984</x:v>
      </x:c>
      <x:c r="J176" s="10" t="str">
        <x:v>2025-02-10</x:v>
      </x:c>
      <x:c r="K176" s="10" t="n">
        <x:v>2025</x:v>
      </x:c>
      <x:c r="L176" s="10" t="str">
        <x:v>Bilbao–Le Havre–Dublin–Liverpool</x:v>
      </x:c>
      <x:c r="M176" s="10" t="str">
        <x:v>TNMSC</x:v>
      </x:c>
      <x:c r="N176" s="10" t="str">
        <x:v>A1</x:v>
      </x:c>
      <x:c r="O176" s="10" t="str">
        <x:v>https://www.haropaport.com/fr/actualites/wec-lines-renforce-loffre-shortsea-de-haropa-port</x:v>
      </x:c>
      <x:c r="P176" s="10" t="str">
        <x:v>Escale inaugurale du service.</x:v>
      </x:c>
    </x:row>
    <x:row r="177">
      <x:c r="A177" s="10" t="str">
        <x:v>G001</x:v>
      </x:c>
      <x:c r="B177" s="10" t="str">
        <x:v>G001-F02</x:v>
      </x:c>
      <x:c r="C177" s="10" t="str">
        <x:v>MSC (Mediterranean Shipping Company)</x:v>
      </x:c>
      <x:c r="D177" s="10" t="str">
        <x:v>WEC Lines</x:v>
      </x:c>
      <x:c r="E177" s="10" t="str">
        <x:v>Rattaché à l'entité opérationnelle</x:v>
      </x:c>
      <x:c r="F177" s="10" t="str">
        <x:v>WEC Lines</x:v>
      </x:c>
      <x:c r="G177" s="10" t="str">
        <x:v>WEC Lines / navire affrété</x:v>
      </x:c>
      <x:c r="H177" s="10" t="str">
        <x:v>BERNHARD SCHEPERS</x:v>
      </x:c>
      <x:c r="I177" s="10" t="str">
        <x:v>9492505</x:v>
      </x:c>
      <x:c r="J177" s="10" t="str">
        <x:v>2025-06-20</x:v>
      </x:c>
      <x:c r="K177" s="10" t="n">
        <x:v>2025</x:v>
      </x:c>
      <x:c r="L177" s="10" t="str">
        <x:v>Shortsea WEC</x:v>
      </x:c>
      <x:c r="M177" s="10" t="str">
        <x:v>Le Havre</x:v>
      </x:c>
      <x:c r="N177" s="10" t="str">
        <x:v>C</x:v>
      </x:c>
      <x:c r="O177" s="10" t="str">
        <x:v>https://www.marine-marchande.net/Jourlejour4/AujourleJour-550.html</x:v>
      </x:c>
      <x:c r="P177" s="10" t="str">
        <x:v>Observation portuaire datée.</x:v>
      </x:c>
    </x:row>
    <x:row r="178">
      <x:c r="A178" s="10" t="str">
        <x:v>G002</x:v>
      </x:c>
      <x:c r="B178" s="10" t="str">
        <x:v>G002-F03</x:v>
      </x:c>
      <x:c r="C178" s="10" t="str">
        <x:v>Maersk (A.P. Moller-Maersk)</x:v>
      </x:c>
      <x:c r="D178" s="10" t="str">
        <x:v>Maersk A/S</x:v>
      </x:c>
      <x:c r="E178" s="10" t="str">
        <x:v>Rattaché à l'entité opérationnelle</x:v>
      </x:c>
      <x:c r="F178" s="10" t="str">
        <x:v>Maersk</x:v>
      </x:c>
      <x:c r="G178" s="10" t="str">
        <x:v>Maersk</x:v>
      </x:c>
      <x:c r="H178" s="10" t="str">
        <x:v>ANE MAERSK</x:v>
      </x:c>
      <x:c r="I178" s="10" t="str">
        <x:v>9948748</x:v>
      </x:c>
      <x:c r="J178" s="10" t="str">
        <x:v>2024-04</x:v>
      </x:c>
      <x:c r="K178" s="10" t="n">
        <x:v>2024</x:v>
      </x:c>
      <x:c r="L178" s="10" t="str">
        <x:v>Service Maersk</x:v>
      </x:c>
      <x:c r="M178" s="10" t="str">
        <x:v>Port 2000</x:v>
      </x:c>
      <x:c r="N178" s="10" t="str">
        <x:v>C</x:v>
      </x:c>
      <x:c r="O178" s="10" t="str">
        <x:v>https://www.marine-marchande.net/Jourlejour4/AujourleJour-535.html</x:v>
      </x:c>
      <x:c r="P178" s="10" t="str">
        <x:v>Premier voyage ; fin de rotation européenne au Havre.</x:v>
      </x:c>
    </x:row>
    <x:row r="179">
      <x:c r="A179" s="10" t="str">
        <x:v>G002</x:v>
      </x:c>
      <x:c r="B179" s="10" t="str">
        <x:v>G002-F03</x:v>
      </x:c>
      <x:c r="C179" s="10" t="str">
        <x:v>Maersk (A.P. Moller-Maersk)</x:v>
      </x:c>
      <x:c r="D179" s="10" t="str">
        <x:v>Maersk A/S</x:v>
      </x:c>
      <x:c r="E179" s="10" t="str">
        <x:v>Rattaché à l'entité opérationnelle</x:v>
      </x:c>
      <x:c r="F179" s="10" t="str">
        <x:v>Maersk</x:v>
      </x:c>
      <x:c r="G179" s="10" t="str">
        <x:v>Maersk</x:v>
      </x:c>
      <x:c r="H179" s="10" t="str">
        <x:v>CAPE CITIUS</x:v>
      </x:c>
      <x:c r="I179" s="10" t="str">
        <x:v>9848742</x:v>
      </x:c>
      <x:c r="J179" s="10" t="str">
        <x:v>2025-02-13</x:v>
      </x:c>
      <x:c r="K179" s="10" t="n">
        <x:v>2025</x:v>
      </x:c>
      <x:c r="L179" s="10" t="str">
        <x:v>Feeder Europe</x:v>
      </x:c>
      <x:c r="M179" s="10" t="str">
        <x:v>Le Havre</x:v>
      </x:c>
      <x:c r="N179" s="10" t="str">
        <x:v>C</x:v>
      </x:c>
      <x:c r="O179" s="10" t="str">
        <x:v>https://www.marine-marchande.net/Jourlejour4/AujourleJour-546.html</x:v>
      </x:c>
      <x:c r="P179" s="10" t="str">
        <x:v>Feeder Le Havre–Anvers–Rotterdam–Gdansk documenté.</x:v>
      </x:c>
    </x:row>
    <x:row r="180">
      <x:c r="A180" s="10" t="str">
        <x:v>G002</x:v>
      </x:c>
      <x:c r="B180" s="10" t="str">
        <x:v>G002-F03</x:v>
      </x:c>
      <x:c r="C180" s="10" t="str">
        <x:v>Maersk (A.P. Moller-Maersk)</x:v>
      </x:c>
      <x:c r="D180" s="10" t="str">
        <x:v>Maersk A/S</x:v>
      </x:c>
      <x:c r="E180" s="10" t="str">
        <x:v>Rattaché à l'entité opérationnelle</x:v>
      </x:c>
      <x:c r="F180" s="10" t="str">
        <x:v>Maersk</x:v>
      </x:c>
      <x:c r="G180" s="10" t="str">
        <x:v>Maersk</x:v>
      </x:c>
      <x:c r="H180" s="10" t="str">
        <x:v>ELLY MAERSK</x:v>
      </x:c>
      <x:c r="I180" s="10" t="str">
        <x:v>9321536</x:v>
      </x:c>
      <x:c r="J180" s="10" t="str">
        <x:v>2023-05-18</x:v>
      </x:c>
      <x:c r="K180" s="10" t="n">
        <x:v>2023</x:v>
      </x:c>
      <x:c r="L180" s="10" t="str">
        <x:v>2M / Asie-Europe</x:v>
      </x:c>
      <x:c r="M180" s="10" t="str">
        <x:v>Le Havre</x:v>
      </x:c>
      <x:c r="N180" s="10" t="str">
        <x:v>C</x:v>
      </x:c>
      <x:c r="O180" s="10" t="str">
        <x:v>https://www.marine-marchande.net/Jourlejour4/AujourleJour-524.html</x:v>
      </x:c>
      <x:c r="P180" s="10" t="str">
        <x:v>Arrivée de Londres et dernière escale européenne documentée.</x:v>
      </x:c>
    </x:row>
    <x:row r="181">
      <x:c r="A181" s="10" t="str">
        <x:v>G002</x:v>
      </x:c>
      <x:c r="B181" s="10" t="str">
        <x:v>G002-F03</x:v>
      </x:c>
      <x:c r="C181" s="10" t="str">
        <x:v>Maersk (A.P. Moller-Maersk)</x:v>
      </x:c>
      <x:c r="D181" s="10" t="str">
        <x:v>Maersk A/S</x:v>
      </x:c>
      <x:c r="E181" s="10" t="str">
        <x:v>Rattaché à l'entité opérationnelle</x:v>
      </x:c>
      <x:c r="F181" s="10" t="str">
        <x:v>Maersk</x:v>
      </x:c>
      <x:c r="G181" s="10" t="str">
        <x:v>Maersk</x:v>
      </x:c>
      <x:c r="H181" s="10" t="str">
        <x:v>ESTELLE MAERSK</x:v>
      </x:c>
      <x:c r="I181" s="10"/>
      <x:c r="J181" s="10" t="str">
        <x:v>2023-02-04</x:v>
      </x:c>
      <x:c r="K181" s="10" t="n">
        <x:v>2023</x:v>
      </x:c>
      <x:c r="L181" s="10" t="str">
        <x:v>2M</x:v>
      </x:c>
      <x:c r="M181" s="10" t="str">
        <x:v>Le Havre</x:v>
      </x:c>
      <x:c r="N181" s="10" t="str">
        <x:v>C</x:v>
      </x:c>
      <x:c r="O181" s="10" t="str">
        <x:v>https://www.marine-marchande.net/Jourlejour4/AujourleJour-521.html</x:v>
      </x:c>
      <x:c r="P181" s="10" t="str">
        <x:v>Observation portuaire datée.</x:v>
      </x:c>
    </x:row>
    <x:row r="182">
      <x:c r="A182" s="10" t="str">
        <x:v>G002</x:v>
      </x:c>
      <x:c r="B182" s="10" t="str">
        <x:v>G002-F03</x:v>
      </x:c>
      <x:c r="C182" s="10" t="str">
        <x:v>Maersk (A.P. Moller-Maersk)</x:v>
      </x:c>
      <x:c r="D182" s="10" t="str">
        <x:v>Maersk A/S</x:v>
      </x:c>
      <x:c r="E182" s="10" t="str">
        <x:v>Rattaché à l'entité opérationnelle</x:v>
      </x:c>
      <x:c r="F182" s="10" t="str">
        <x:v>Maersk</x:v>
      </x:c>
      <x:c r="G182" s="10" t="str">
        <x:v>Maersk</x:v>
      </x:c>
      <x:c r="H182" s="10" t="str">
        <x:v>EUGEN MAERSK</x:v>
      </x:c>
      <x:c r="I182" s="10" t="str">
        <x:v>9321550</x:v>
      </x:c>
      <x:c r="J182" s="10" t="str">
        <x:v>2024-05</x:v>
      </x:c>
      <x:c r="K182" s="10" t="n">
        <x:v>2024</x:v>
      </x:c>
      <x:c r="L182" s="10" t="str">
        <x:v>Service Maersk</x:v>
      </x:c>
      <x:c r="M182" s="10" t="str">
        <x:v>Le Havre</x:v>
      </x:c>
      <x:c r="N182" s="10" t="str">
        <x:v>C</x:v>
      </x:c>
      <x:c r="O182" s="10" t="str">
        <x:v>https://www.marine-marchande.net/Jourlejour4/AujourleJour-537.html</x:v>
      </x:c>
      <x:c r="P182" s="10" t="str">
        <x:v>Arrivée de Londres pour la dernière escale européenne.</x:v>
      </x:c>
    </x:row>
    <x:row r="183">
      <x:c r="A183" s="10" t="str">
        <x:v>G002</x:v>
      </x:c>
      <x:c r="B183" s="10" t="str">
        <x:v>G002-F03</x:v>
      </x:c>
      <x:c r="C183" s="10" t="str">
        <x:v>Maersk (A.P. Moller-Maersk)</x:v>
      </x:c>
      <x:c r="D183" s="10" t="str">
        <x:v>Maersk A/S</x:v>
      </x:c>
      <x:c r="E183" s="10" t="str">
        <x:v>Rattaché à l'entité opérationnelle</x:v>
      </x:c>
      <x:c r="F183" s="10" t="str">
        <x:v>Maersk</x:v>
      </x:c>
      <x:c r="G183" s="10" t="str">
        <x:v>Maersk</x:v>
      </x:c>
      <x:c r="H183" s="10" t="str">
        <x:v>MAERSK ADELAIDE</x:v>
      </x:c>
      <x:c r="I183" s="10"/>
      <x:c r="J183" s="10" t="str">
        <x:v>2023-04</x:v>
      </x:c>
      <x:c r="K183" s="10" t="n">
        <x:v>2023</x:v>
      </x:c>
      <x:c r="L183" s="10" t="str">
        <x:v>TA2</x:v>
      </x:c>
      <x:c r="M183" s="10" t="str">
        <x:v>Le Havre</x:v>
      </x:c>
      <x:c r="N183" s="10" t="str">
        <x:v>B2</x:v>
      </x:c>
      <x:c r="O183" s="10" t="str">
        <x:v>https://www.maersk.com/news/articles/2023/03/28/ta2-service-update</x:v>
      </x:c>
      <x:c r="P183" s="10" t="str">
        <x:v>Le Havre intégré à la rotation annoncée du navire/service.</x:v>
      </x:c>
    </x:row>
    <x:row r="184">
      <x:c r="A184" s="10" t="str">
        <x:v>G002</x:v>
      </x:c>
      <x:c r="B184" s="10" t="str">
        <x:v>G002-F03</x:v>
      </x:c>
      <x:c r="C184" s="10" t="str">
        <x:v>Maersk (A.P. Moller-Maersk)</x:v>
      </x:c>
      <x:c r="D184" s="10" t="str">
        <x:v>Maersk A/S</x:v>
      </x:c>
      <x:c r="E184" s="10" t="str">
        <x:v>Rattaché à l'entité opérationnelle</x:v>
      </x:c>
      <x:c r="F184" s="10" t="str">
        <x:v>Maersk</x:v>
      </x:c>
      <x:c r="G184" s="10" t="str">
        <x:v>Maersk</x:v>
      </x:c>
      <x:c r="H184" s="10" t="str">
        <x:v>MAERSK CAMPTON</x:v>
      </x:c>
      <x:c r="I184" s="10"/>
      <x:c r="J184" s="10" t="str">
        <x:v>2023-01-08</x:v>
      </x:c>
      <x:c r="K184" s="10" t="n">
        <x:v>2023</x:v>
      </x:c>
      <x:c r="L184" s="10" t="str">
        <x:v>2M / Asie-Europe</x:v>
      </x:c>
      <x:c r="M184" s="10" t="str">
        <x:v>Le Havre</x:v>
      </x:c>
      <x:c r="N184" s="10" t="str">
        <x:v>C</x:v>
      </x:c>
      <x:c r="O184" s="10" t="str">
        <x:v>https://www.marine-marchande.net/Jourlejour4/AujourleJour-520.html</x:v>
      </x:c>
      <x:c r="P184" s="10" t="str">
        <x:v>Dernière escale européenne du voyage documentée au Havre.</x:v>
      </x:c>
    </x:row>
    <x:row r="185">
      <x:c r="A185" s="10" t="str">
        <x:v>G002</x:v>
      </x:c>
      <x:c r="B185" s="10" t="str">
        <x:v>G002-F03</x:v>
      </x:c>
      <x:c r="C185" s="10" t="str">
        <x:v>Maersk (A.P. Moller-Maersk)</x:v>
      </x:c>
      <x:c r="D185" s="10" t="str">
        <x:v>Maersk A/S</x:v>
      </x:c>
      <x:c r="E185" s="10" t="str">
        <x:v>Rattaché à l'entité opérationnelle</x:v>
      </x:c>
      <x:c r="F185" s="10" t="str">
        <x:v>Maersk</x:v>
      </x:c>
      <x:c r="G185" s="10" t="str">
        <x:v>Maersk</x:v>
      </x:c>
      <x:c r="H185" s="10" t="str">
        <x:v>MAERSK NUBA</x:v>
      </x:c>
      <x:c r="I185" s="10"/>
      <x:c r="J185" s="10" t="str">
        <x:v>2025-08-17</x:v>
      </x:c>
      <x:c r="K185" s="10" t="n">
        <x:v>2025</x:v>
      </x:c>
      <x:c r="L185" s="10" t="str">
        <x:v>Service Maersk</x:v>
      </x:c>
      <x:c r="M185" s="10" t="str">
        <x:v>Terminal de l'Atlantique</x:v>
      </x:c>
      <x:c r="N185" s="10" t="str">
        <x:v>C</x:v>
      </x:c>
      <x:c r="O185" s="10" t="str">
        <x:v>https://www.marine-marchande.net/Jourlejour4/AujourleJour-551.html</x:v>
      </x:c>
      <x:c r="P185" s="10" t="str">
        <x:v>Arrivée d'Algeciras documentée.</x:v>
      </x:c>
    </x:row>
    <x:row r="186">
      <x:c r="A186" s="10" t="str">
        <x:v>G002</x:v>
      </x:c>
      <x:c r="B186" s="10" t="str">
        <x:v>G002-F03</x:v>
      </x:c>
      <x:c r="C186" s="10" t="str">
        <x:v>Maersk (A.P. Moller-Maersk)</x:v>
      </x:c>
      <x:c r="D186" s="10" t="str">
        <x:v>Maersk A/S</x:v>
      </x:c>
      <x:c r="E186" s="10" t="str">
        <x:v>Rattaché à l'entité opérationnelle</x:v>
      </x:c>
      <x:c r="F186" s="10" t="str">
        <x:v>Maersk</x:v>
      </x:c>
      <x:c r="G186" s="10" t="str">
        <x:v>Maersk</x:v>
      </x:c>
      <x:c r="H186" s="10" t="str">
        <x:v>MUNKEBO MAERSK</x:v>
      </x:c>
      <x:c r="I186" s="10"/>
      <x:c r="J186" s="10" t="str">
        <x:v>2023-02-13</x:v>
      </x:c>
      <x:c r="K186" s="10" t="n">
        <x:v>2023</x:v>
      </x:c>
      <x:c r="L186" s="10" t="str">
        <x:v>2M</x:v>
      </x:c>
      <x:c r="M186" s="10" t="str">
        <x:v>Le Havre</x:v>
      </x:c>
      <x:c r="N186" s="10" t="str">
        <x:v>C</x:v>
      </x:c>
      <x:c r="O186" s="10" t="str">
        <x:v>https://www.marine-marchande.net/Jourlejour4/AujourleJour-521.html</x:v>
      </x:c>
      <x:c r="P186" s="10" t="str">
        <x:v>Observation portuaire datée.</x:v>
      </x:c>
    </x:row>
    <x:row r="187">
      <x:c r="A187" s="10" t="str">
        <x:v>G002</x:v>
      </x:c>
      <x:c r="B187" s="10" t="str">
        <x:v>G002-F03</x:v>
      </x:c>
      <x:c r="C187" s="10" t="str">
        <x:v>Maersk (A.P. Moller-Maersk)</x:v>
      </x:c>
      <x:c r="D187" s="10" t="str">
        <x:v>Maersk A/S</x:v>
      </x:c>
      <x:c r="E187" s="10" t="str">
        <x:v>Rattaché à l'entité opérationnelle</x:v>
      </x:c>
      <x:c r="F187" s="10" t="str">
        <x:v>Maersk</x:v>
      </x:c>
      <x:c r="G187" s="10" t="str">
        <x:v>Maersk / navire affrété</x:v>
      </x:c>
      <x:c r="H187" s="10" t="str">
        <x:v>JPO LIBRA</x:v>
      </x:c>
      <x:c r="I187" s="10"/>
      <x:c r="J187" s="10" t="str">
        <x:v>2023-09</x:v>
      </x:c>
      <x:c r="K187" s="10" t="n">
        <x:v>2023</x:v>
      </x:c>
      <x:c r="L187" s="10" t="str">
        <x:v>Service Maersk</x:v>
      </x:c>
      <x:c r="M187" s="10" t="str">
        <x:v>Le Havre</x:v>
      </x:c>
      <x:c r="N187" s="10" t="str">
        <x:v>B2</x:v>
      </x:c>
      <x:c r="O187" s="10" t="str">
        <x:v>https://www.maersk.com/news/articles/2023/09/01/operational-update-north-europe</x:v>
      </x:c>
      <x:c r="P187" s="10" t="str">
        <x:v>Chargement Le Havre documenté par Maersk.</x:v>
      </x:c>
    </x:row>
    <x:row r="188">
      <x:c r="A188" s="10" t="str">
        <x:v>G064</x:v>
      </x:c>
      <x:c r="B188" s="10" t="str">
        <x:v>G064</x:v>
      </x:c>
      <x:c r="C188" s="10" t="str">
        <x:v>Marfret</x:v>
      </x:c>
      <x:c r="D188" s="10" t="str">
        <x:v>Marfret</x:v>
      </x:c>
      <x:c r="E188" s="10" t="str">
        <x:v>Rattaché à l'entité opérationnelle</x:v>
      </x:c>
      <x:c r="F188" s="10" t="str">
        <x:v>Marfret</x:v>
      </x:c>
      <x:c r="G188" s="10" t="str">
        <x:v>Marfret</x:v>
      </x:c>
      <x:c r="H188" s="10" t="str">
        <x:v>DOUCE FRANCE</x:v>
      </x:c>
      <x:c r="I188" s="10"/>
      <x:c r="J188" s="10" t="str">
        <x:v>2024-07-04</x:v>
      </x:c>
      <x:c r="K188" s="10" t="n">
        <x:v>2024</x:v>
      </x:c>
      <x:c r="L188" s="10" t="str">
        <x:v>Service Marfret</x:v>
      </x:c>
      <x:c r="M188" s="10" t="str">
        <x:v>Le Havre</x:v>
      </x:c>
      <x:c r="N188" s="10" t="str">
        <x:v>C</x:v>
      </x:c>
      <x:c r="O188" s="10" t="str">
        <x:v>https://www.marine-marchande.net/Jourlejour4/AujourleJour-539.html</x:v>
      </x:c>
      <x:c r="P188" s="10" t="str">
        <x:v>Présence havraise documentée.</x:v>
      </x:c>
    </x:row>
    <x:row r="189">
      <x:c r="A189" s="10" t="str">
        <x:v>G006</x:v>
      </x:c>
      <x:c r="B189" s="10" t="str">
        <x:v>G006</x:v>
      </x:c>
      <x:c r="C189" s="10" t="str">
        <x:v>Ocean Network Express (ONE)</x:v>
      </x:c>
      <x:c r="D189" s="10" t="str">
        <x:v>Ocean Network Express (ONE)</x:v>
      </x:c>
      <x:c r="E189" s="10" t="str">
        <x:v>Rattaché à l'entité opérationnelle</x:v>
      </x:c>
      <x:c r="F189" s="10" t="str">
        <x:v>Ocean Network Express (ONE)</x:v>
      </x:c>
      <x:c r="G189" s="10" t="str">
        <x:v>ONE</x:v>
      </x:c>
      <x:c r="H189" s="10" t="str">
        <x:v>ONE ALTAIR</x:v>
      </x:c>
      <x:c r="I189" s="10"/>
      <x:c r="J189" s="10" t="str">
        <x:v>2026-09</x:v>
      </x:c>
      <x:c r="K189" s="10" t="n">
        <x:v>2026</x:v>
      </x:c>
      <x:c r="L189" s="10" t="str">
        <x:v>Premier / service ONE</x:v>
      </x:c>
      <x:c r="M189" s="10" t="str">
        <x:v>Le Havre</x:v>
      </x:c>
      <x:c r="N189" s="10" t="str">
        <x:v>A2</x:v>
      </x:c>
      <x:c r="O189" s="10" t="str">
        <x:v>https://www.marinetraffic.com/</x:v>
      </x:c>
      <x:c r="P189" s="10" t="str">
        <x:v>MarineTraffic : présence récente au Havre repérée lors du relevé.</x:v>
      </x:c>
    </x:row>
    <x:row r="190">
      <x:c r="A190" s="10" t="str">
        <x:v>G006</x:v>
      </x:c>
      <x:c r="B190" s="10" t="str">
        <x:v>G006</x:v>
      </x:c>
      <x:c r="C190" s="10" t="str">
        <x:v>Ocean Network Express (ONE)</x:v>
      </x:c>
      <x:c r="D190" s="10" t="str">
        <x:v>Ocean Network Express (ONE)</x:v>
      </x:c>
      <x:c r="E190" s="10" t="str">
        <x:v>Rattaché à l'entité opérationnelle</x:v>
      </x:c>
      <x:c r="F190" s="10" t="str">
        <x:v>Ocean Network Express (ONE)</x:v>
      </x:c>
      <x:c r="G190" s="10" t="str">
        <x:v>ONE</x:v>
      </x:c>
      <x:c r="H190" s="10" t="str">
        <x:v>ONE HAMBURG</x:v>
      </x:c>
      <x:c r="I190" s="10"/>
      <x:c r="J190" s="10" t="str">
        <x:v>2024-03-31</x:v>
      </x:c>
      <x:c r="K190" s="10" t="n">
        <x:v>2024</x:v>
      </x:c>
      <x:c r="L190" s="10" t="str">
        <x:v>THE Alliance</x:v>
      </x:c>
      <x:c r="M190" s="10" t="str">
        <x:v>Le Havre</x:v>
      </x:c>
      <x:c r="N190" s="10" t="str">
        <x:v>B1</x:v>
      </x:c>
      <x:c r="O190" s="10" t="str">
        <x:v>https://www.hapag-lloyd.com/fr/services-information/news/2023/12/here-s-a-live-ticker-on-the-red-sea-and-suez-canal-situation.html</x:v>
      </x:c>
      <x:c r="P190" s="10" t="str">
        <x:v>Ticker officiel Hapag-Lloyd / THE Alliance.</x:v>
      </x:c>
    </x:row>
    <x:row r="191">
      <x:c r="A191" s="10" t="str">
        <x:v>G006</x:v>
      </x:c>
      <x:c r="B191" s="10" t="str">
        <x:v>G006</x:v>
      </x:c>
      <x:c r="C191" s="10" t="str">
        <x:v>Ocean Network Express (ONE)</x:v>
      </x:c>
      <x:c r="D191" s="10" t="str">
        <x:v>Ocean Network Express (ONE)</x:v>
      </x:c>
      <x:c r="E191" s="10" t="str">
        <x:v>Rattaché à l'entité opérationnelle</x:v>
      </x:c>
      <x:c r="F191" s="10" t="str">
        <x:v>Ocean Network Express (ONE)</x:v>
      </x:c>
      <x:c r="G191" s="10" t="str">
        <x:v>ONE</x:v>
      </x:c>
      <x:c r="H191" s="10" t="str">
        <x:v>ONE HAMMERSMITH</x:v>
      </x:c>
      <x:c r="I191" s="10"/>
      <x:c r="J191" s="10" t="str">
        <x:v>2024-05</x:v>
      </x:c>
      <x:c r="K191" s="10" t="n">
        <x:v>2024</x:v>
      </x:c>
      <x:c r="L191" s="10" t="str">
        <x:v>THE Alliance</x:v>
      </x:c>
      <x:c r="M191" s="10" t="str">
        <x:v>Le Havre</x:v>
      </x:c>
      <x:c r="N191" s="10" t="str">
        <x:v>C</x:v>
      </x:c>
      <x:c r="O191" s="10" t="str">
        <x:v>https://www.marine-marchande.net/Jourlejour4/AujourleJour-537.html</x:v>
      </x:c>
      <x:c r="P191" s="10" t="str">
        <x:v>Présence havraise documentée.</x:v>
      </x:c>
    </x:row>
    <x:row r="192">
      <x:c r="A192" s="10" t="str">
        <x:v>G006</x:v>
      </x:c>
      <x:c r="B192" s="10" t="str">
        <x:v>G006</x:v>
      </x:c>
      <x:c r="C192" s="10" t="str">
        <x:v>Ocean Network Express (ONE)</x:v>
      </x:c>
      <x:c r="D192" s="10" t="str">
        <x:v>Ocean Network Express (ONE)</x:v>
      </x:c>
      <x:c r="E192" s="10" t="str">
        <x:v>Rattaché à l'entité opérationnelle</x:v>
      </x:c>
      <x:c r="F192" s="10" t="str">
        <x:v>Ocean Network Express (ONE)</x:v>
      </x:c>
      <x:c r="G192" s="10" t="str">
        <x:v>ONE</x:v>
      </x:c>
      <x:c r="H192" s="10" t="str">
        <x:v>ONE HANNOVER</x:v>
      </x:c>
      <x:c r="I192" s="10"/>
      <x:c r="J192" s="10" t="str">
        <x:v>2024-03-22</x:v>
      </x:c>
      <x:c r="K192" s="10" t="n">
        <x:v>2024</x:v>
      </x:c>
      <x:c r="L192" s="10" t="str">
        <x:v>THE Alliance</x:v>
      </x:c>
      <x:c r="M192" s="10" t="str">
        <x:v>Le Havre</x:v>
      </x:c>
      <x:c r="N192" s="10" t="str">
        <x:v>B1</x:v>
      </x:c>
      <x:c r="O192" s="10" t="str">
        <x:v>https://www.hapag-lloyd.com/fr/services-information/news/2023/12/here-s-a-live-ticker-on-the-red-sea-and-suez-canal-situation.html</x:v>
      </x:c>
      <x:c r="P192" s="10" t="str">
        <x:v>Ticker officiel Hapag-Lloyd / THE Alliance.</x:v>
      </x:c>
    </x:row>
    <x:row r="193">
      <x:c r="A193" s="10" t="str">
        <x:v>G006</x:v>
      </x:c>
      <x:c r="B193" s="10" t="str">
        <x:v>G006</x:v>
      </x:c>
      <x:c r="C193" s="10" t="str">
        <x:v>Ocean Network Express (ONE)</x:v>
      </x:c>
      <x:c r="D193" s="10" t="str">
        <x:v>Ocean Network Express (ONE)</x:v>
      </x:c>
      <x:c r="E193" s="10" t="str">
        <x:v>Rattaché à l'entité opérationnelle</x:v>
      </x:c>
      <x:c r="F193" s="10" t="str">
        <x:v>Ocean Network Express (ONE)</x:v>
      </x:c>
      <x:c r="G193" s="10" t="str">
        <x:v>ONE</x:v>
      </x:c>
      <x:c r="H193" s="10" t="str">
        <x:v>ONE HANOI</x:v>
      </x:c>
      <x:c r="I193" s="10"/>
      <x:c r="J193" s="10" t="str">
        <x:v>2024-06-18</x:v>
      </x:c>
      <x:c r="K193" s="10" t="n">
        <x:v>2024</x:v>
      </x:c>
      <x:c r="L193" s="10" t="str">
        <x:v>THE Alliance</x:v>
      </x:c>
      <x:c r="M193" s="10" t="str">
        <x:v>Le Havre</x:v>
      </x:c>
      <x:c r="N193" s="10" t="str">
        <x:v>C</x:v>
      </x:c>
      <x:c r="O193" s="10" t="str">
        <x:v>https://www.ntl-naigai.co.jp/en/transport/pdf/Le%20Havre_en_202406.pdf</x:v>
      </x:c>
      <x:c r="P193" s="10" t="str">
        <x:v>Schedule commercial export Le Havre.</x:v>
      </x:c>
    </x:row>
    <x:row r="194">
      <x:c r="A194" s="10" t="str">
        <x:v>G006</x:v>
      </x:c>
      <x:c r="B194" s="10" t="str">
        <x:v>G006</x:v>
      </x:c>
      <x:c r="C194" s="10" t="str">
        <x:v>Ocean Network Express (ONE)</x:v>
      </x:c>
      <x:c r="D194" s="10" t="str">
        <x:v>Ocean Network Express (ONE)</x:v>
      </x:c>
      <x:c r="E194" s="10" t="str">
        <x:v>Rattaché à l'entité opérationnelle</x:v>
      </x:c>
      <x:c r="F194" s="10" t="str">
        <x:v>Ocean Network Express (ONE)</x:v>
      </x:c>
      <x:c r="G194" s="10" t="str">
        <x:v>ONE</x:v>
      </x:c>
      <x:c r="H194" s="10" t="str">
        <x:v>ONE HARBOUR</x:v>
      </x:c>
      <x:c r="I194" s="10"/>
      <x:c r="J194" s="10" t="str">
        <x:v>2024-08-29</x:v>
      </x:c>
      <x:c r="K194" s="10" t="n">
        <x:v>2024</x:v>
      </x:c>
      <x:c r="L194" s="10" t="str">
        <x:v>THE Alliance</x:v>
      </x:c>
      <x:c r="M194" s="10" t="str">
        <x:v>Le Havre</x:v>
      </x:c>
      <x:c r="N194" s="10" t="str">
        <x:v>C</x:v>
      </x:c>
      <x:c r="O194" s="10" t="str">
        <x:v>https://www.scribd.com/document/754984822/SCHEDULES-LE-HAVRE-BUSAN-AOUT-2024</x:v>
      </x:c>
      <x:c r="P194" s="10" t="str">
        <x:v>Schedule commercial Le Havre–Busan.</x:v>
      </x:c>
    </x:row>
    <x:row r="195">
      <x:c r="A195" s="10" t="str">
        <x:v>G006</x:v>
      </x:c>
      <x:c r="B195" s="10" t="str">
        <x:v>G006</x:v>
      </x:c>
      <x:c r="C195" s="10" t="str">
        <x:v>Ocean Network Express (ONE)</x:v>
      </x:c>
      <x:c r="D195" s="10" t="str">
        <x:v>Ocean Network Express (ONE)</x:v>
      </x:c>
      <x:c r="E195" s="10" t="str">
        <x:v>Rattaché à l'entité opérationnelle</x:v>
      </x:c>
      <x:c r="F195" s="10" t="str">
        <x:v>Ocean Network Express (ONE)</x:v>
      </x:c>
      <x:c r="G195" s="10" t="str">
        <x:v>ONE</x:v>
      </x:c>
      <x:c r="H195" s="10" t="str">
        <x:v>ONE HELSINKI</x:v>
      </x:c>
      <x:c r="I195" s="10"/>
      <x:c r="J195" s="10" t="str">
        <x:v>2024-09-07</x:v>
      </x:c>
      <x:c r="K195" s="10" t="n">
        <x:v>2024</x:v>
      </x:c>
      <x:c r="L195" s="10" t="str">
        <x:v>THE Alliance</x:v>
      </x:c>
      <x:c r="M195" s="10" t="str">
        <x:v>Le Havre</x:v>
      </x:c>
      <x:c r="N195" s="10" t="str">
        <x:v>C</x:v>
      </x:c>
      <x:c r="O195" s="10" t="str">
        <x:v>https://www.scribd.com/document/754984822/SCHEDULES-LE-HAVRE-BUSAN-AOUT-2024</x:v>
      </x:c>
      <x:c r="P195" s="10" t="str">
        <x:v>Schedule commercial Le Havre–Busan.</x:v>
      </x:c>
    </x:row>
    <x:row r="196">
      <x:c r="A196" s="10" t="str">
        <x:v>G006</x:v>
      </x:c>
      <x:c r="B196" s="10" t="str">
        <x:v>G006</x:v>
      </x:c>
      <x:c r="C196" s="10" t="str">
        <x:v>Ocean Network Express (ONE)</x:v>
      </x:c>
      <x:c r="D196" s="10" t="str">
        <x:v>Ocean Network Express (ONE)</x:v>
      </x:c>
      <x:c r="E196" s="10" t="str">
        <x:v>Rattaché à l'entité opérationnelle</x:v>
      </x:c>
      <x:c r="F196" s="10" t="str">
        <x:v>Ocean Network Express (ONE)</x:v>
      </x:c>
      <x:c r="G196" s="10" t="str">
        <x:v>ONE</x:v>
      </x:c>
      <x:c r="H196" s="10" t="str">
        <x:v>ONE HENRY HUDSON</x:v>
      </x:c>
      <x:c r="I196" s="10"/>
      <x:c r="J196" s="10" t="str">
        <x:v>2024-06-07</x:v>
      </x:c>
      <x:c r="K196" s="10" t="n">
        <x:v>2024</x:v>
      </x:c>
      <x:c r="L196" s="10" t="str">
        <x:v>THE Alliance</x:v>
      </x:c>
      <x:c r="M196" s="10" t="str">
        <x:v>Le Havre</x:v>
      </x:c>
      <x:c r="N196" s="10" t="str">
        <x:v>C</x:v>
      </x:c>
      <x:c r="O196" s="10" t="str">
        <x:v>https://www.ntl-naigai.co.jp/en/transport/pdf/Le%20Havre_en_202406.pdf</x:v>
      </x:c>
      <x:c r="P196" s="10" t="str">
        <x:v>Schedule commercial export Le Havre.</x:v>
      </x:c>
    </x:row>
    <x:row r="197">
      <x:c r="A197" s="10" t="str">
        <x:v>G006</x:v>
      </x:c>
      <x:c r="B197" s="10" t="str">
        <x:v>G006</x:v>
      </x:c>
      <x:c r="C197" s="10" t="str">
        <x:v>Ocean Network Express (ONE)</x:v>
      </x:c>
      <x:c r="D197" s="10" t="str">
        <x:v>Ocean Network Express (ONE)</x:v>
      </x:c>
      <x:c r="E197" s="10" t="str">
        <x:v>Rattaché à l'entité opérationnelle</x:v>
      </x:c>
      <x:c r="F197" s="10" t="str">
        <x:v>Ocean Network Express (ONE)</x:v>
      </x:c>
      <x:c r="G197" s="10" t="str">
        <x:v>ONE</x:v>
      </x:c>
      <x:c r="H197" s="10" t="str">
        <x:v>ONE HONOLULU</x:v>
      </x:c>
      <x:c r="I197" s="10"/>
      <x:c r="J197" s="10" t="str">
        <x:v>2024-02-23</x:v>
      </x:c>
      <x:c r="K197" s="10" t="n">
        <x:v>2024</x:v>
      </x:c>
      <x:c r="L197" s="10" t="str">
        <x:v>THE Alliance</x:v>
      </x:c>
      <x:c r="M197" s="10" t="str">
        <x:v>Le Havre</x:v>
      </x:c>
      <x:c r="N197" s="10" t="str">
        <x:v>B1</x:v>
      </x:c>
      <x:c r="O197" s="10" t="str">
        <x:v>https://www.hapag-lloyd.com/fr/services-information/news/2023/12/here-s-a-live-ticker-on-the-red-sea-and-suez-canal-situation.html</x:v>
      </x:c>
      <x:c r="P197" s="10" t="str">
        <x:v>Ticker officiel Hapag-Lloyd / THE Alliance.</x:v>
      </x:c>
    </x:row>
    <x:row r="198">
      <x:c r="A198" s="10" t="str">
        <x:v>G006</x:v>
      </x:c>
      <x:c r="B198" s="10" t="str">
        <x:v>G006</x:v>
      </x:c>
      <x:c r="C198" s="10" t="str">
        <x:v>Ocean Network Express (ONE)</x:v>
      </x:c>
      <x:c r="D198" s="10" t="str">
        <x:v>Ocean Network Express (ONE)</x:v>
      </x:c>
      <x:c r="E198" s="10" t="str">
        <x:v>Rattaché à l'entité opérationnelle</x:v>
      </x:c>
      <x:c r="F198" s="10" t="str">
        <x:v>Ocean Network Express (ONE)</x:v>
      </x:c>
      <x:c r="G198" s="10" t="str">
        <x:v>ONE</x:v>
      </x:c>
      <x:c r="H198" s="10" t="str">
        <x:v>ONE HOUSTON</x:v>
      </x:c>
      <x:c r="I198" s="10" t="str">
        <x:v>9566382</x:v>
      </x:c>
      <x:c r="J198" s="10" t="str">
        <x:v>2023-09-08</x:v>
      </x:c>
      <x:c r="K198" s="10" t="n">
        <x:v>2023</x:v>
      </x:c>
      <x:c r="L198" s="10" t="str">
        <x:v>THE Alliance</x:v>
      </x:c>
      <x:c r="M198" s="10" t="str">
        <x:v>Le Havre</x:v>
      </x:c>
      <x:c r="N198" s="10" t="str">
        <x:v>C</x:v>
      </x:c>
      <x:c r="O198" s="10" t="str">
        <x:v>https://www.marine-marchande.net/Jourlejour4/AujourleJour-528.html</x:v>
      </x:c>
      <x:c r="P198" s="10" t="str">
        <x:v>Observation portuaire datée.</x:v>
      </x:c>
    </x:row>
    <x:row r="199">
      <x:c r="A199" s="10" t="str">
        <x:v>G006</x:v>
      </x:c>
      <x:c r="B199" s="10" t="str">
        <x:v>G006</x:v>
      </x:c>
      <x:c r="C199" s="10" t="str">
        <x:v>Ocean Network Express (ONE)</x:v>
      </x:c>
      <x:c r="D199" s="10" t="str">
        <x:v>Ocean Network Express (ONE)</x:v>
      </x:c>
      <x:c r="E199" s="10" t="str">
        <x:v>Rattaché à l'entité opérationnelle</x:v>
      </x:c>
      <x:c r="F199" s="10" t="str">
        <x:v>Ocean Network Express (ONE)</x:v>
      </x:c>
      <x:c r="G199" s="10" t="str">
        <x:v>ONE</x:v>
      </x:c>
      <x:c r="H199" s="10" t="str">
        <x:v>ONE HUMBER</x:v>
      </x:c>
      <x:c r="I199" s="10"/>
      <x:c r="J199" s="10" t="str">
        <x:v>2024-01-06</x:v>
      </x:c>
      <x:c r="K199" s="10" t="n">
        <x:v>2024</x:v>
      </x:c>
      <x:c r="L199" s="10" t="str">
        <x:v>THE Alliance</x:v>
      </x:c>
      <x:c r="M199" s="10" t="str">
        <x:v>Le Havre</x:v>
      </x:c>
      <x:c r="N199" s="10" t="str">
        <x:v>B1</x:v>
      </x:c>
      <x:c r="O199" s="10" t="str">
        <x:v>https://ch.one-line.com/sites/g/files/lnzjqr2191/files/schedules/2024-11/VSL-Schedule-Dec-2024.pdf</x:v>
      </x:c>
      <x:c r="P199" s="10" t="str">
        <x:v>Schedule officiel ONE.</x:v>
      </x:c>
    </x:row>
    <x:row r="200">
      <x:c r="A200" s="10" t="str">
        <x:v>G006</x:v>
      </x:c>
      <x:c r="B200" s="10" t="str">
        <x:v>G006</x:v>
      </x:c>
      <x:c r="C200" s="10" t="str">
        <x:v>Ocean Network Express (ONE)</x:v>
      </x:c>
      <x:c r="D200" s="10" t="str">
        <x:v>Ocean Network Express (ONE)</x:v>
      </x:c>
      <x:c r="E200" s="10" t="str">
        <x:v>Rattaché à l'entité opérationnelle</x:v>
      </x:c>
      <x:c r="F200" s="10" t="str">
        <x:v>Ocean Network Express (ONE)</x:v>
      </x:c>
      <x:c r="G200" s="10" t="str">
        <x:v>ONE</x:v>
      </x:c>
      <x:c r="H200" s="10" t="str">
        <x:v>ONE HUMEN</x:v>
      </x:c>
      <x:c r="I200" s="10"/>
      <x:c r="J200" s="10" t="str">
        <x:v>2025-06-13</x:v>
      </x:c>
      <x:c r="K200" s="10" t="n">
        <x:v>2025</x:v>
      </x:c>
      <x:c r="L200" s="10" t="str">
        <x:v>Premier / service ONE</x:v>
      </x:c>
      <x:c r="M200" s="10" t="str">
        <x:v>Port 2000</x:v>
      </x:c>
      <x:c r="N200" s="10" t="str">
        <x:v>C</x:v>
      </x:c>
      <x:c r="O200" s="10" t="str">
        <x:v>https://www.marine-marchande.net/Jourlejour4/AujourleJour-550.html</x:v>
      </x:c>
      <x:c r="P200" s="10" t="str">
        <x:v>Observation portuaire datée.</x:v>
      </x:c>
    </x:row>
    <x:row r="201">
      <x:c r="A201" s="10" t="str">
        <x:v>G006</x:v>
      </x:c>
      <x:c r="B201" s="10" t="str">
        <x:v>G006</x:v>
      </x:c>
      <x:c r="C201" s="10" t="str">
        <x:v>Ocean Network Express (ONE)</x:v>
      </x:c>
      <x:c r="D201" s="10" t="str">
        <x:v>Ocean Network Express (ONE)</x:v>
      </x:c>
      <x:c r="E201" s="10" t="str">
        <x:v>Rattaché à l'entité opérationnelle</x:v>
      </x:c>
      <x:c r="F201" s="10" t="str">
        <x:v>Ocean Network Express (ONE)</x:v>
      </x:c>
      <x:c r="G201" s="10" t="str">
        <x:v>ONE</x:v>
      </x:c>
      <x:c r="H201" s="10" t="str">
        <x:v>ONE INFINITY</x:v>
      </x:c>
      <x:c r="I201" s="10" t="str">
        <x:v>9933004</x:v>
      </x:c>
      <x:c r="J201" s="10" t="str">
        <x:v>2026-03</x:v>
      </x:c>
      <x:c r="K201" s="10" t="n">
        <x:v>2026</x:v>
      </x:c>
      <x:c r="L201" s="10" t="str">
        <x:v>Premier / service ONE</x:v>
      </x:c>
      <x:c r="M201" s="10" t="str">
        <x:v>Le Havre</x:v>
      </x:c>
      <x:c r="N201" s="10" t="str">
        <x:v>A2</x:v>
      </x:c>
      <x:c r="O201" s="10" t="str">
        <x:v>https://www.vesselfinder.com/vessels/details/9933004</x:v>
      </x:c>
      <x:c r="P201" s="10" t="str">
        <x:v>VesselFinder : présence/escale Le Havre documentée.</x:v>
      </x:c>
    </x:row>
    <x:row r="202">
      <x:c r="A202" s="10" t="str">
        <x:v>G006</x:v>
      </x:c>
      <x:c r="B202" s="10" t="str">
        <x:v>G006</x:v>
      </x:c>
      <x:c r="C202" s="10" t="str">
        <x:v>Ocean Network Express (ONE)</x:v>
      </x:c>
      <x:c r="D202" s="10" t="str">
        <x:v>Ocean Network Express (ONE)</x:v>
      </x:c>
      <x:c r="E202" s="10" t="str">
        <x:v>Rattaché à l'entité opérationnelle</x:v>
      </x:c>
      <x:c r="F202" s="10" t="str">
        <x:v>Ocean Network Express (ONE)</x:v>
      </x:c>
      <x:c r="G202" s="10" t="str">
        <x:v>ONE</x:v>
      </x:c>
      <x:c r="H202" s="10" t="str">
        <x:v>ONE INNOVATION</x:v>
      </x:c>
      <x:c r="I202" s="10"/>
      <x:c r="J202" s="10" t="str">
        <x:v>2025-05-26</x:v>
      </x:c>
      <x:c r="K202" s="10" t="n">
        <x:v>2025</x:v>
      </x:c>
      <x:c r="L202" s="10" t="str">
        <x:v>FE4 / Premier Alliance</x:v>
      </x:c>
      <x:c r="M202" s="10" t="str">
        <x:v>Terminal de France</x:v>
      </x:c>
      <x:c r="N202" s="10" t="str">
        <x:v>B1</x:v>
      </x:c>
      <x:c r="O202" s="10" t="str">
        <x:v>https://ch.one-line.com/sites/g/files/lnzjqr2191/files/schedules/2025-05/Europe%20Schedule.pdf</x:v>
      </x:c>
      <x:c r="P202" s="10" t="str">
        <x:v>Schedule officiel ONE.</x:v>
      </x:c>
    </x:row>
    <x:row r="203">
      <x:c r="A203" s="10" t="str">
        <x:v>G006</x:v>
      </x:c>
      <x:c r="B203" s="10" t="str">
        <x:v>G006</x:v>
      </x:c>
      <x:c r="C203" s="10" t="str">
        <x:v>Ocean Network Express (ONE)</x:v>
      </x:c>
      <x:c r="D203" s="10" t="str">
        <x:v>Ocean Network Express (ONE)</x:v>
      </x:c>
      <x:c r="E203" s="10" t="str">
        <x:v>Rattaché à l'entité opérationnelle</x:v>
      </x:c>
      <x:c r="F203" s="10" t="str">
        <x:v>Ocean Network Express (ONE)</x:v>
      </x:c>
      <x:c r="G203" s="10" t="str">
        <x:v>ONE</x:v>
      </x:c>
      <x:c r="H203" s="10" t="str">
        <x:v>ONE INSPIRATION</x:v>
      </x:c>
      <x:c r="I203" s="10"/>
      <x:c r="J203" s="10" t="str">
        <x:v>2025-07-07</x:v>
      </x:c>
      <x:c r="K203" s="10" t="n">
        <x:v>2025</x:v>
      </x:c>
      <x:c r="L203" s="10" t="str">
        <x:v>Premier / service ONE</x:v>
      </x:c>
      <x:c r="M203" s="10" t="str">
        <x:v>Le Havre</x:v>
      </x:c>
      <x:c r="N203" s="10" t="str">
        <x:v>B1</x:v>
      </x:c>
      <x:c r="O203" s="10" t="str">
        <x:v>https://www.ecuworldwide.co.jp/files/VN_Schedule_0501-0630.pdf?hash=8f48a37c294852fb2738253b1e1f0f08&amp;inline=1</x:v>
      </x:c>
      <x:c r="P203" s="10" t="str">
        <x:v>Schedule partenaire de ligne.</x:v>
      </x:c>
    </x:row>
    <x:row r="204">
      <x:c r="A204" s="10" t="str">
        <x:v>G006</x:v>
      </x:c>
      <x:c r="B204" s="10" t="str">
        <x:v>G006</x:v>
      </x:c>
      <x:c r="C204" s="10" t="str">
        <x:v>Ocean Network Express (ONE)</x:v>
      </x:c>
      <x:c r="D204" s="10" t="str">
        <x:v>Ocean Network Express (ONE)</x:v>
      </x:c>
      <x:c r="E204" s="10" t="str">
        <x:v>Rattaché à l'entité opérationnelle</x:v>
      </x:c>
      <x:c r="F204" s="10" t="str">
        <x:v>Ocean Network Express (ONE)</x:v>
      </x:c>
      <x:c r="G204" s="10" t="str">
        <x:v>ONE</x:v>
      </x:c>
      <x:c r="H204" s="10" t="str">
        <x:v>ONE INTEGRITY</x:v>
      </x:c>
      <x:c r="I204" s="10"/>
      <x:c r="J204" s="10" t="str">
        <x:v>2025-05-13</x:v>
      </x:c>
      <x:c r="K204" s="10" t="n">
        <x:v>2025</x:v>
      </x:c>
      <x:c r="L204" s="10" t="str">
        <x:v>FE4 / Premier Alliance</x:v>
      </x:c>
      <x:c r="M204" s="10" t="str">
        <x:v>Terminal de France</x:v>
      </x:c>
      <x:c r="N204" s="10" t="str">
        <x:v>A1</x:v>
      </x:c>
      <x:c r="O204" s="10" t="str">
        <x:v>https://www.haropaport.com/fr/actualites/le-havre-accueille-le-one-integrity-une-escale-inaugurale-xxl-pour-haropa-port</x:v>
      </x:c>
      <x:c r="P204" s="10" t="str">
        <x:v>Escale inaugurale officielle.</x:v>
      </x:c>
    </x:row>
    <x:row r="205">
      <x:c r="A205" s="10" t="str">
        <x:v>G006</x:v>
      </x:c>
      <x:c r="B205" s="10" t="str">
        <x:v>G006</x:v>
      </x:c>
      <x:c r="C205" s="10" t="str">
        <x:v>Ocean Network Express (ONE)</x:v>
      </x:c>
      <x:c r="D205" s="10" t="str">
        <x:v>Ocean Network Express (ONE)</x:v>
      </x:c>
      <x:c r="E205" s="10" t="str">
        <x:v>Rattaché à l'entité opérationnelle</x:v>
      </x:c>
      <x:c r="F205" s="10" t="str">
        <x:v>Ocean Network Express (ONE)</x:v>
      </x:c>
      <x:c r="G205" s="10" t="str">
        <x:v>ONE</x:v>
      </x:c>
      <x:c r="H205" s="10" t="str">
        <x:v>ONE INTELLIGENCE</x:v>
      </x:c>
      <x:c r="I205" s="10" t="str">
        <x:v>9933121</x:v>
      </x:c>
      <x:c r="J205" s="10" t="str">
        <x:v>2026-08-22</x:v>
      </x:c>
      <x:c r="K205" s="10" t="n">
        <x:v>2026</x:v>
      </x:c>
      <x:c r="L205" s="10" t="str">
        <x:v>Premier / service ONE</x:v>
      </x:c>
      <x:c r="M205" s="10" t="str">
        <x:v>Le Havre</x:v>
      </x:c>
      <x:c r="N205" s="10" t="str">
        <x:v>A2</x:v>
      </x:c>
      <x:c r="O205" s="10" t="str">
        <x:v>https://www.vesselfinder.com/vessels/details/9933121</x:v>
      </x:c>
      <x:c r="P205" s="10" t="str">
        <x:v>VesselFinder : dernier port Le Havre / départ documenté.</x:v>
      </x:c>
    </x:row>
    <x:row r="206">
      <x:c r="A206" s="10" t="str">
        <x:v>G006</x:v>
      </x:c>
      <x:c r="B206" s="10" t="str">
        <x:v>G006</x:v>
      </x:c>
      <x:c r="C206" s="10" t="str">
        <x:v>Ocean Network Express (ONE)</x:v>
      </x:c>
      <x:c r="D206" s="10" t="str">
        <x:v>Ocean Network Express (ONE)</x:v>
      </x:c>
      <x:c r="E206" s="10" t="str">
        <x:v>Rattaché à l'entité opérationnelle</x:v>
      </x:c>
      <x:c r="F206" s="10" t="str">
        <x:v>Ocean Network Express (ONE)</x:v>
      </x:c>
      <x:c r="G206" s="10" t="str">
        <x:v>ONE</x:v>
      </x:c>
      <x:c r="H206" s="10" t="str">
        <x:v>ONE MARVEL</x:v>
      </x:c>
      <x:c r="I206" s="10"/>
      <x:c r="J206" s="10" t="str">
        <x:v>2024-03-01</x:v>
      </x:c>
      <x:c r="K206" s="10" t="n">
        <x:v>2024</x:v>
      </x:c>
      <x:c r="L206" s="10" t="str">
        <x:v>THE Alliance</x:v>
      </x:c>
      <x:c r="M206" s="10" t="str">
        <x:v>Le Havre</x:v>
      </x:c>
      <x:c r="N206" s="10" t="str">
        <x:v>B1</x:v>
      </x:c>
      <x:c r="O206" s="10" t="str">
        <x:v>https://www.hapag-lloyd.com/fr/services-information/news/2023/12/here-s-a-live-ticker-on-the-red-sea-and-suez-canal-situation.html</x:v>
      </x:c>
      <x:c r="P206" s="10" t="str">
        <x:v>Ticker officiel Hapag-Lloyd / THE Alliance.</x:v>
      </x:c>
    </x:row>
    <x:row r="207">
      <x:c r="A207" s="10" t="str">
        <x:v>G006</x:v>
      </x:c>
      <x:c r="B207" s="10" t="str">
        <x:v>G006</x:v>
      </x:c>
      <x:c r="C207" s="10" t="str">
        <x:v>Ocean Network Express (ONE)</x:v>
      </x:c>
      <x:c r="D207" s="10" t="str">
        <x:v>Ocean Network Express (ONE)</x:v>
      </x:c>
      <x:c r="E207" s="10" t="str">
        <x:v>Rattaché à l'entité opérationnelle</x:v>
      </x:c>
      <x:c r="F207" s="10" t="str">
        <x:v>Ocean Network Express (ONE)</x:v>
      </x:c>
      <x:c r="G207" s="10" t="str">
        <x:v>ONE</x:v>
      </x:c>
      <x:c r="H207" s="10" t="str">
        <x:v>ONE OLYMPUS</x:v>
      </x:c>
      <x:c r="I207" s="10"/>
      <x:c r="J207" s="10" t="str">
        <x:v>2024-04-08</x:v>
      </x:c>
      <x:c r="K207" s="10" t="n">
        <x:v>2024</x:v>
      </x:c>
      <x:c r="L207" s="10" t="str">
        <x:v>THE Alliance</x:v>
      </x:c>
      <x:c r="M207" s="10" t="str">
        <x:v>Le Havre</x:v>
      </x:c>
      <x:c r="N207" s="10" t="str">
        <x:v>B1</x:v>
      </x:c>
      <x:c r="O207" s="10" t="str">
        <x:v>https://www.hapag-lloyd.com/fr/services-information/news/2023/12/here-s-a-live-ticker-on-the-red-sea-and-suez-canal-situation.html</x:v>
      </x:c>
      <x:c r="P207" s="10" t="str">
        <x:v>Ticker officiel Hapag-Lloyd / THE Alliance.</x:v>
      </x:c>
    </x:row>
    <x:row r="208">
      <x:c r="A208" s="10" t="str">
        <x:v>G006</x:v>
      </x:c>
      <x:c r="B208" s="10" t="str">
        <x:v>G006</x:v>
      </x:c>
      <x:c r="C208" s="10" t="str">
        <x:v>Ocean Network Express (ONE)</x:v>
      </x:c>
      <x:c r="D208" s="10" t="str">
        <x:v>Ocean Network Express (ONE)</x:v>
      </x:c>
      <x:c r="E208" s="10" t="str">
        <x:v>Rattaché à l'entité opérationnelle</x:v>
      </x:c>
      <x:c r="F208" s="10" t="str">
        <x:v>Ocean Network Express (ONE)</x:v>
      </x:c>
      <x:c r="G208" s="10" t="str">
        <x:v>ONE</x:v>
      </x:c>
      <x:c r="H208" s="10" t="str">
        <x:v>ONE TRADITION</x:v>
      </x:c>
      <x:c r="I208" s="10" t="str">
        <x:v>9769300</x:v>
      </x:c>
      <x:c r="J208" s="10" t="str">
        <x:v>2026-07-16</x:v>
      </x:c>
      <x:c r="K208" s="10" t="n">
        <x:v>2026</x:v>
      </x:c>
      <x:c r="L208" s="10" t="str">
        <x:v>Premier / service ONE</x:v>
      </x:c>
      <x:c r="M208" s="10" t="str">
        <x:v>Le Havre</x:v>
      </x:c>
      <x:c r="N208" s="10" t="str">
        <x:v>A2</x:v>
      </x:c>
      <x:c r="O208" s="10" t="str">
        <x:v>https://www.vesselfinder.com/vessels/details/9769300</x:v>
      </x:c>
      <x:c r="P208" s="10" t="str">
        <x:v>VesselFinder : dernier port Le Havre / départ documenté.</x:v>
      </x:c>
    </x:row>
    <x:row r="209">
      <x:c r="A209" s="10" t="str">
        <x:v>G006</x:v>
      </x:c>
      <x:c r="B209" s="10" t="str">
        <x:v>G006</x:v>
      </x:c>
      <x:c r="C209" s="10" t="str">
        <x:v>Ocean Network Express (ONE)</x:v>
      </x:c>
      <x:c r="D209" s="10" t="str">
        <x:v>Ocean Network Express (ONE)</x:v>
      </x:c>
      <x:c r="E209" s="10" t="str">
        <x:v>Rattaché à l'entité opérationnelle</x:v>
      </x:c>
      <x:c r="F209" s="10" t="str">
        <x:v>Ocean Network Express (ONE)</x:v>
      </x:c>
      <x:c r="G209" s="10" t="str">
        <x:v>ONE</x:v>
      </x:c>
      <x:c r="H209" s="10" t="str">
        <x:v>ONE TREASURE</x:v>
      </x:c>
      <x:c r="I209" s="10" t="str">
        <x:v>9773222</x:v>
      </x:c>
      <x:c r="J209" s="10" t="str">
        <x:v>2025-01-31</x:v>
      </x:c>
      <x:c r="K209" s="10" t="n">
        <x:v>2025</x:v>
      </x:c>
      <x:c r="L209" s="10" t="str">
        <x:v>THE/Premier transition</x:v>
      </x:c>
      <x:c r="M209" s="10" t="str">
        <x:v>Le Havre</x:v>
      </x:c>
      <x:c r="N209" s="10" t="str">
        <x:v>B1</x:v>
      </x:c>
      <x:c r="O209" s="10" t="str">
        <x:v>https://ch.one-line.com/sites/g/files/lnzjqr2191/files/schedules/2024-11/VSL-Schedule-Dec-2024.pdf</x:v>
      </x:c>
      <x:c r="P209" s="10" t="str">
        <x:v>Schedule officiel ONE ; VesselFinder confirme aussi une escale le 09/08/2026.</x:v>
      </x:c>
    </x:row>
    <x:row r="210">
      <x:c r="A210" s="10" t="str">
        <x:v>G006</x:v>
      </x:c>
      <x:c r="B210" s="10" t="str">
        <x:v>G006</x:v>
      </x:c>
      <x:c r="C210" s="10" t="str">
        <x:v>Ocean Network Express (ONE)</x:v>
      </x:c>
      <x:c r="D210" s="10" t="str">
        <x:v>Ocean Network Express (ONE)</x:v>
      </x:c>
      <x:c r="E210" s="10" t="str">
        <x:v>Rattaché à l'entité opérationnelle</x:v>
      </x:c>
      <x:c r="F210" s="10" t="str">
        <x:v>Ocean Network Express (ONE)</x:v>
      </x:c>
      <x:c r="G210" s="10" t="str">
        <x:v>ONE</x:v>
      </x:c>
      <x:c r="H210" s="10" t="str">
        <x:v>ONE TRIBUTE</x:v>
      </x:c>
      <x:c r="I210" s="10"/>
      <x:c r="J210" s="10" t="str">
        <x:v>2023-08-22</x:v>
      </x:c>
      <x:c r="K210" s="10" t="n">
        <x:v>2023</x:v>
      </x:c>
      <x:c r="L210" s="10" t="str">
        <x:v>THE Alliance</x:v>
      </x:c>
      <x:c r="M210" s="10" t="str">
        <x:v>Le Havre</x:v>
      </x:c>
      <x:c r="N210" s="10" t="str">
        <x:v>B1</x:v>
      </x:c>
      <x:c r="O210" s="10" t="str">
        <x:v>https://ch.one-line.com/sites/g/files/lnzjqr2191/files/schedules/2023-08/Europe%20Schedule.pdf</x:v>
      </x:c>
      <x:c r="P210" s="10" t="str">
        <x:v>Schedule officiel ONE.</x:v>
      </x:c>
    </x:row>
    <x:row r="211">
      <x:c r="A211" s="10" t="str">
        <x:v>G006</x:v>
      </x:c>
      <x:c r="B211" s="10" t="str">
        <x:v>G006</x:v>
      </x:c>
      <x:c r="C211" s="10" t="str">
        <x:v>Ocean Network Express (ONE)</x:v>
      </x:c>
      <x:c r="D211" s="10" t="str">
        <x:v>Ocean Network Express (ONE)</x:v>
      </x:c>
      <x:c r="E211" s="10" t="str">
        <x:v>Rattaché à l'entité opérationnelle</x:v>
      </x:c>
      <x:c r="F211" s="10" t="str">
        <x:v>Ocean Network Express (ONE)</x:v>
      </x:c>
      <x:c r="G211" s="10" t="str">
        <x:v>ONE</x:v>
      </x:c>
      <x:c r="H211" s="10" t="str">
        <x:v>ONE TRIUMPH</x:v>
      </x:c>
      <x:c r="I211" s="10"/>
      <x:c r="J211" s="10" t="str">
        <x:v>2023-08-03</x:v>
      </x:c>
      <x:c r="K211" s="10" t="n">
        <x:v>2023</x:v>
      </x:c>
      <x:c r="L211" s="10" t="str">
        <x:v>THE Alliance</x:v>
      </x:c>
      <x:c r="M211" s="10" t="str">
        <x:v>Le Havre</x:v>
      </x:c>
      <x:c r="N211" s="10" t="str">
        <x:v>B1</x:v>
      </x:c>
      <x:c r="O211" s="10" t="str">
        <x:v>https://ch.one-line.com/sites/g/files/lnzjqr2191/files/schedules/2023-07/Europe%20Schedule.pdf</x:v>
      </x:c>
      <x:c r="P211" s="10" t="str">
        <x:v>Schedule officiel ONE.</x:v>
      </x:c>
    </x:row>
    <x:row r="212">
      <x:c r="A212" s="10" t="str">
        <x:v>G006</x:v>
      </x:c>
      <x:c r="B212" s="10" t="str">
        <x:v>G006</x:v>
      </x:c>
      <x:c r="C212" s="10" t="str">
        <x:v>Ocean Network Express (ONE)</x:v>
      </x:c>
      <x:c r="D212" s="10" t="str">
        <x:v>Ocean Network Express (ONE)</x:v>
      </x:c>
      <x:c r="E212" s="10" t="str">
        <x:v>Rattaché à l'entité opérationnelle</x:v>
      </x:c>
      <x:c r="F212" s="10" t="str">
        <x:v>Ocean Network Express (ONE)</x:v>
      </x:c>
      <x:c r="G212" s="10" t="str">
        <x:v>ONE</x:v>
      </x:c>
      <x:c r="H212" s="10" t="str">
        <x:v>ONE TRUST</x:v>
      </x:c>
      <x:c r="I212" s="10"/>
      <x:c r="J212" s="10" t="str">
        <x:v>2025-01-05</x:v>
      </x:c>
      <x:c r="K212" s="10" t="n">
        <x:v>2025</x:v>
      </x:c>
      <x:c r="L212" s="10" t="str">
        <x:v>THE Alliance</x:v>
      </x:c>
      <x:c r="M212" s="10" t="str">
        <x:v>Le Havre</x:v>
      </x:c>
      <x:c r="N212" s="10" t="str">
        <x:v>B1</x:v>
      </x:c>
      <x:c r="O212" s="10" t="str">
        <x:v>https://ch.one-line.com/sites/g/files/lnzjqr2191/files/schedules/2024-11/VSL-Schedule-Dec-2024.pdf</x:v>
      </x:c>
      <x:c r="P212" s="10" t="str">
        <x:v>Schedule officiel ONE.</x:v>
      </x:c>
    </x:row>
    <x:row r="213">
      <x:c r="A213" s="10" t="str">
        <x:v>G006</x:v>
      </x:c>
      <x:c r="B213" s="10" t="str">
        <x:v>G006</x:v>
      </x:c>
      <x:c r="C213" s="10" t="str">
        <x:v>Ocean Network Express (ONE)</x:v>
      </x:c>
      <x:c r="D213" s="10" t="str">
        <x:v>Ocean Network Express (ONE)</x:v>
      </x:c>
      <x:c r="E213" s="10" t="str">
        <x:v>Rattaché à l'entité opérationnelle</x:v>
      </x:c>
      <x:c r="F213" s="10" t="str">
        <x:v>Ocean Network Express (ONE)</x:v>
      </x:c>
      <x:c r="G213" s="10" t="str">
        <x:v>ONE</x:v>
      </x:c>
      <x:c r="H213" s="10" t="str">
        <x:v>ONE TRUTH</x:v>
      </x:c>
      <x:c r="I213" s="10" t="str">
        <x:v>9773210</x:v>
      </x:c>
      <x:c r="J213" s="10" t="str">
        <x:v>2026-09-05</x:v>
      </x:c>
      <x:c r="K213" s="10" t="n">
        <x:v>2026</x:v>
      </x:c>
      <x:c r="L213" s="10" t="str">
        <x:v>Premier / service ONE</x:v>
      </x:c>
      <x:c r="M213" s="10" t="str">
        <x:v>Le Havre</x:v>
      </x:c>
      <x:c r="N213" s="10" t="str">
        <x:v>A2</x:v>
      </x:c>
      <x:c r="O213" s="10" t="str">
        <x:v>https://www.vesselfinder.com/vessels/details/9773210</x:v>
      </x:c>
      <x:c r="P213" s="10" t="str">
        <x:v>VesselFinder : dernier port Le Havre / départ documenté.</x:v>
      </x:c>
    </x:row>
    <x:row r="214">
      <x:c r="A214" s="10" t="str">
        <x:v>G006</x:v>
      </x:c>
      <x:c r="B214" s="10" t="str">
        <x:v>G006</x:v>
      </x:c>
      <x:c r="C214" s="10" t="str">
        <x:v>Ocean Network Express (ONE)</x:v>
      </x:c>
      <x:c r="D214" s="10" t="str">
        <x:v>Ocean Network Express (ONE)</x:v>
      </x:c>
      <x:c r="E214" s="10" t="str">
        <x:v>Rattaché à l'entité opérationnelle</x:v>
      </x:c>
      <x:c r="F214" s="10" t="str">
        <x:v>Ocean Network Express (ONE)</x:v>
      </x:c>
      <x:c r="G214" s="10" t="str">
        <x:v>ONE / MOL</x:v>
      </x:c>
      <x:c r="H214" s="10" t="str">
        <x:v>MOL PROFICIENCY</x:v>
      </x:c>
      <x:c r="I214" s="10"/>
      <x:c r="J214" s="10" t="str">
        <x:v>2024-06-15</x:v>
      </x:c>
      <x:c r="K214" s="10" t="n">
        <x:v>2024</x:v>
      </x:c>
      <x:c r="L214" s="10" t="str">
        <x:v>THE Alliance</x:v>
      </x:c>
      <x:c r="M214" s="10" t="str">
        <x:v>Terminal de l'Atlantique</x:v>
      </x:c>
      <x:c r="N214" s="10" t="str">
        <x:v>C</x:v>
      </x:c>
      <x:c r="O214" s="10" t="str">
        <x:v>https://www.marine-marchande.net/Jourlejour4/AujourleJour-537.html</x:v>
      </x:c>
      <x:c r="P214" s="10" t="str">
        <x:v>Arrivée de Houston documentée.</x:v>
      </x:c>
    </x:row>
    <x:row r="215">
      <x:c r="A215" s="10" t="str">
        <x:v>G006</x:v>
      </x:c>
      <x:c r="B215" s="10" t="str">
        <x:v>G006</x:v>
      </x:c>
      <x:c r="C215" s="10" t="str">
        <x:v>Ocean Network Express (ONE)</x:v>
      </x:c>
      <x:c r="D215" s="10" t="str">
        <x:v>Ocean Network Express (ONE)</x:v>
      </x:c>
      <x:c r="E215" s="10" t="str">
        <x:v>Rattaché à l'entité opérationnelle</x:v>
      </x:c>
      <x:c r="F215" s="10" t="str">
        <x:v>Ocean Network Express (ONE)</x:v>
      </x:c>
      <x:c r="G215" s="10" t="str">
        <x:v>ONE / NYK</x:v>
      </x:c>
      <x:c r="H215" s="10" t="str">
        <x:v>NYK DEMETER</x:v>
      </x:c>
      <x:c r="I215" s="10"/>
      <x:c r="J215" s="10" t="str">
        <x:v>2025-08-27</x:v>
      </x:c>
      <x:c r="K215" s="10" t="n">
        <x:v>2025</x:v>
      </x:c>
      <x:c r="L215" s="10" t="str">
        <x:v>Premier / service ONE</x:v>
      </x:c>
      <x:c r="M215" s="10" t="str">
        <x:v>Le Havre</x:v>
      </x:c>
      <x:c r="N215" s="10" t="str">
        <x:v>C</x:v>
      </x:c>
      <x:c r="O215" s="10" t="str">
        <x:v>https://www.marine-marchande.net/Jourlejour4/AujourleJour-552.html</x:v>
      </x:c>
      <x:c r="P215" s="10" t="str">
        <x:v>Observation portuaire datée.</x:v>
      </x:c>
    </x:row>
    <x:row r="216">
      <x:c r="A216" s="10" t="str">
        <x:v>G006</x:v>
      </x:c>
      <x:c r="B216" s="10" t="str">
        <x:v>G006</x:v>
      </x:c>
      <x:c r="C216" s="10" t="str">
        <x:v>Ocean Network Express (ONE)</x:v>
      </x:c>
      <x:c r="D216" s="10" t="str">
        <x:v>Ocean Network Express (ONE)</x:v>
      </x:c>
      <x:c r="E216" s="10" t="str">
        <x:v>Rattaché à l'entité opérationnelle</x:v>
      </x:c>
      <x:c r="F216" s="10" t="str">
        <x:v>Ocean Network Express (ONE)</x:v>
      </x:c>
      <x:c r="G216" s="10" t="str">
        <x:v>ONE / NYK</x:v>
      </x:c>
      <x:c r="H216" s="10" t="str">
        <x:v>NYK OCEANUS</x:v>
      </x:c>
      <x:c r="I216" s="10"/>
      <x:c r="J216" s="10" t="str">
        <x:v>2024-03-18</x:v>
      </x:c>
      <x:c r="K216" s="10" t="n">
        <x:v>2024</x:v>
      </x:c>
      <x:c r="L216" s="10" t="str">
        <x:v>THE Alliance</x:v>
      </x:c>
      <x:c r="M216" s="10" t="str">
        <x:v>Le Havre</x:v>
      </x:c>
      <x:c r="N216" s="10" t="str">
        <x:v>B1</x:v>
      </x:c>
      <x:c r="O216" s="10" t="str">
        <x:v>https://www.hapag-lloyd.com/fr/services-information/news/2023/12/here-s-a-live-ticker-on-the-red-sea-and-suez-canal-situation.html</x:v>
      </x:c>
      <x:c r="P216" s="10" t="str">
        <x:v>Ticker officiel Hapag-Lloyd / THE Alliance.</x:v>
      </x:c>
    </x:row>
    <x:row r="217">
      <x:c r="A217" s="10" t="str">
        <x:v>G006</x:v>
      </x:c>
      <x:c r="B217" s="10" t="str">
        <x:v>G006</x:v>
      </x:c>
      <x:c r="C217" s="10" t="str">
        <x:v>Ocean Network Express (ONE)</x:v>
      </x:c>
      <x:c r="D217" s="10" t="str">
        <x:v>Ocean Network Express (ONE)</x:v>
      </x:c>
      <x:c r="E217" s="10" t="str">
        <x:v>Rattaché à l'entité opérationnelle</x:v>
      </x:c>
      <x:c r="F217" s="10" t="str">
        <x:v>Ocean Network Express (ONE)</x:v>
      </x:c>
      <x:c r="G217" s="10" t="str">
        <x:v>ONE / NYK</x:v>
      </x:c>
      <x:c r="H217" s="10" t="str">
        <x:v>NYK ORION</x:v>
      </x:c>
      <x:c r="I217" s="10"/>
      <x:c r="J217" s="10" t="str">
        <x:v>2024-03-25</x:v>
      </x:c>
      <x:c r="K217" s="10" t="n">
        <x:v>2024</x:v>
      </x:c>
      <x:c r="L217" s="10" t="str">
        <x:v>THE Alliance</x:v>
      </x:c>
      <x:c r="M217" s="10" t="str">
        <x:v>Le Havre</x:v>
      </x:c>
      <x:c r="N217" s="10" t="str">
        <x:v>B1</x:v>
      </x:c>
      <x:c r="O217" s="10" t="str">
        <x:v>https://www.hapag-lloyd.com/fr/services-information/news/2023/12/here-s-a-live-ticker-on-the-red-sea-and-suez-canal-situation.html</x:v>
      </x:c>
      <x:c r="P217" s="10" t="str">
        <x:v>Ticker officiel Hapag-Lloyd / THE Alliance.</x:v>
      </x:c>
    </x:row>
    <x:row r="218">
      <x:c r="A218" s="10" t="str">
        <x:v>G006</x:v>
      </x:c>
      <x:c r="B218" s="10" t="str">
        <x:v>G006</x:v>
      </x:c>
      <x:c r="C218" s="10" t="str">
        <x:v>Ocean Network Express (ONE)</x:v>
      </x:c>
      <x:c r="D218" s="10" t="str">
        <x:v>Ocean Network Express (ONE)</x:v>
      </x:c>
      <x:c r="E218" s="10" t="str">
        <x:v>Rattaché à l'entité opérationnelle</x:v>
      </x:c>
      <x:c r="F218" s="10" t="str">
        <x:v>Ocean Network Express (ONE)</x:v>
      </x:c>
      <x:c r="G218" s="10" t="str">
        <x:v>ONE / NYK</x:v>
      </x:c>
      <x:c r="H218" s="10" t="str">
        <x:v>NYK ROMULUS</x:v>
      </x:c>
      <x:c r="I218" s="10"/>
      <x:c r="J218" s="10" t="str">
        <x:v>2024-03-14</x:v>
      </x:c>
      <x:c r="K218" s="10" t="n">
        <x:v>2024</x:v>
      </x:c>
      <x:c r="L218" s="10" t="str">
        <x:v>THE Alliance</x:v>
      </x:c>
      <x:c r="M218" s="10" t="str">
        <x:v>Le Havre</x:v>
      </x:c>
      <x:c r="N218" s="10" t="str">
        <x:v>C</x:v>
      </x:c>
      <x:c r="O218" s="10" t="str">
        <x:v>https://www.marine-marchande.net/Jourlejour4/AujourleJour-534.html</x:v>
      </x:c>
      <x:c r="P218" s="10" t="str">
        <x:v>Présence havraise documentée.</x:v>
      </x:c>
    </x:row>
    <x:row r="219">
      <x:c r="A219" s="10" t="str">
        <x:v>G006</x:v>
      </x:c>
      <x:c r="B219" s="10" t="str">
        <x:v>G006</x:v>
      </x:c>
      <x:c r="C219" s="10" t="str">
        <x:v>Ocean Network Express (ONE)</x:v>
      </x:c>
      <x:c r="D219" s="10" t="str">
        <x:v>Ocean Network Express (ONE)</x:v>
      </x:c>
      <x:c r="E219" s="10" t="str">
        <x:v>Rattaché à l'entité opérationnelle</x:v>
      </x:c>
      <x:c r="F219" s="10" t="str">
        <x:v>Ocean Network Express (ONE)</x:v>
      </x:c>
      <x:c r="G219" s="10" t="str">
        <x:v>ONE / NYK</x:v>
      </x:c>
      <x:c r="H219" s="10" t="str">
        <x:v>NYK VEGA</x:v>
      </x:c>
      <x:c r="I219" s="10"/>
      <x:c r="J219" s="10" t="str">
        <x:v>2024-09-21</x:v>
      </x:c>
      <x:c r="K219" s="10" t="n">
        <x:v>2024</x:v>
      </x:c>
      <x:c r="L219" s="10" t="str">
        <x:v>THE Alliance</x:v>
      </x:c>
      <x:c r="M219" s="10" t="str">
        <x:v>Le Havre</x:v>
      </x:c>
      <x:c r="N219" s="10" t="str">
        <x:v>C</x:v>
      </x:c>
      <x:c r="O219" s="10" t="str">
        <x:v>https://www.scribd.com/document/754984822/SCHEDULES-LE-HAVRE-BUSAN-AOUT-2024</x:v>
      </x:c>
      <x:c r="P219" s="10" t="str">
        <x:v>Schedule commercial Le Havre–Busan.</x:v>
      </x:c>
    </x:row>
    <x:row r="220">
      <x:c r="A220" s="10" t="str">
        <x:v>G006</x:v>
      </x:c>
      <x:c r="B220" s="10" t="str">
        <x:v>G006</x:v>
      </x:c>
      <x:c r="C220" s="10" t="str">
        <x:v>Ocean Network Express (ONE)</x:v>
      </x:c>
      <x:c r="D220" s="10" t="str">
        <x:v>Ocean Network Express (ONE)</x:v>
      </x:c>
      <x:c r="E220" s="10" t="str">
        <x:v>Rattaché à l'entité opérationnelle</x:v>
      </x:c>
      <x:c r="F220" s="10" t="str">
        <x:v>Ocean Network Express (ONE)</x:v>
      </x:c>
      <x:c r="G220" s="10" t="str">
        <x:v>ONE / NYK</x:v>
      </x:c>
      <x:c r="H220" s="10" t="str">
        <x:v>NYK VENUS</x:v>
      </x:c>
      <x:c r="I220" s="10"/>
      <x:c r="J220" s="10" t="str">
        <x:v>2024-06-06</x:v>
      </x:c>
      <x:c r="K220" s="10" t="n">
        <x:v>2024</x:v>
      </x:c>
      <x:c r="L220" s="10" t="str">
        <x:v>THE Alliance</x:v>
      </x:c>
      <x:c r="M220" s="10" t="str">
        <x:v>Le Havre</x:v>
      </x:c>
      <x:c r="N220" s="10" t="str">
        <x:v>C</x:v>
      </x:c>
      <x:c r="O220" s="10" t="str">
        <x:v>https://www.ntl-naigai.co.jp/en/transport/pdf/Le%20Havre_en_202406.pdf</x:v>
      </x:c>
      <x:c r="P220" s="10" t="str">
        <x:v>Schedule commercial export Le Havre.</x:v>
      </x:c>
    </x:row>
    <x:row r="221">
      <x:c r="A221" s="10" t="str">
        <x:v>G006</x:v>
      </x:c>
      <x:c r="B221" s="10" t="str">
        <x:v>G006</x:v>
      </x:c>
      <x:c r="C221" s="10" t="str">
        <x:v>Ocean Network Express (ONE)</x:v>
      </x:c>
      <x:c r="D221" s="10" t="str">
        <x:v>Ocean Network Express (ONE)</x:v>
      </x:c>
      <x:c r="E221" s="10" t="str">
        <x:v>Rattaché à l'entité opérationnelle</x:v>
      </x:c>
      <x:c r="F221" s="10" t="str">
        <x:v>Ocean Network Express (ONE)</x:v>
      </x:c>
      <x:c r="G221" s="10" t="str">
        <x:v>ONE / NYK</x:v>
      </x:c>
      <x:c r="H221" s="10" t="str">
        <x:v>NYK VIRGO</x:v>
      </x:c>
      <x:c r="I221" s="10"/>
      <x:c r="J221" s="10" t="str">
        <x:v>2024-09-09</x:v>
      </x:c>
      <x:c r="K221" s="10" t="n">
        <x:v>2024</x:v>
      </x:c>
      <x:c r="L221" s="10" t="str">
        <x:v>THE Alliance</x:v>
      </x:c>
      <x:c r="M221" s="10" t="str">
        <x:v>Le Havre</x:v>
      </x:c>
      <x:c r="N221" s="10" t="str">
        <x:v>C</x:v>
      </x:c>
      <x:c r="O221" s="10" t="str">
        <x:v>https://www.scribd.com/document/754984822/SCHEDULES-LE-HAVRE-BUSAN-AOUT-2024</x:v>
      </x:c>
      <x:c r="P221" s="10" t="str">
        <x:v>Schedule commercial Le Havre–Busan.</x:v>
      </x:c>
    </x:row>
    <x:row r="222">
      <x:c r="A222" s="10" t="str">
        <x:v>G087</x:v>
      </x:c>
      <x:c r="B222" s="10" t="str">
        <x:v>G087</x:v>
      </x:c>
      <x:c r="C222" s="10" t="str">
        <x:v>Shipping Corporation of India (SCI)</x:v>
      </x:c>
      <x:c r="D222" s="10" t="str">
        <x:v>Shipping Corporation of India (SCI)</x:v>
      </x:c>
      <x:c r="E222" s="10" t="str">
        <x:v>Rattaché à l'entité opérationnelle</x:v>
      </x:c>
      <x:c r="F222" s="10" t="str">
        <x:v>Shipping Corporation of India</x:v>
      </x:c>
      <x:c r="G222" s="10" t="str">
        <x:v>SCI</x:v>
      </x:c>
      <x:c r="H222" s="10" t="str">
        <x:v>SCI DEHLI</x:v>
      </x:c>
      <x:c r="I222" s="10"/>
      <x:c r="J222" s="10" t="str">
        <x:v>2024-12-17</x:v>
      </x:c>
      <x:c r="K222" s="10" t="n">
        <x:v>2024</x:v>
      </x:c>
      <x:c r="L222" s="10" t="str">
        <x:v>Inde–Europe</x:v>
      </x:c>
      <x:c r="M222" s="10" t="str">
        <x:v>TNMSC</x:v>
      </x:c>
      <x:c r="N222" s="10" t="str">
        <x:v>A1</x:v>
      </x:c>
      <x:c r="O222" s="10" t="str">
        <x:v>https://www.haropaport.com/fr/actualites/une-escale-strategique-pour-renforcer-la-connectivite-entre-le-havre-et-linde</x:v>
      </x:c>
      <x:c r="P222" s="10" t="str">
        <x:v>Escale officielle HAROPA.</x:v>
      </x:c>
    </x:row>
    <x:row r="223">
      <x:c r="A223" s="10" t="str">
        <x:v>G013</x:v>
      </x:c>
      <x:c r="B223" s="10" t="str">
        <x:v>G013</x:v>
      </x:c>
      <x:c r="C223" s="10" t="str">
        <x:v>X-Press Feeders</x:v>
      </x:c>
      <x:c r="D223" s="10" t="str">
        <x:v>X-Press Feeders</x:v>
      </x:c>
      <x:c r="E223" s="10" t="str">
        <x:v>Rattaché à l'entité opérationnelle</x:v>
      </x:c>
      <x:c r="F223" s="10" t="str">
        <x:v>X-Press Feeders</x:v>
      </x:c>
      <x:c r="G223" s="10" t="str">
        <x:v>X-Press Feeders</x:v>
      </x:c>
      <x:c r="H223" s="10" t="str">
        <x:v>X-PRESS ELBE</x:v>
      </x:c>
      <x:c r="I223" s="10" t="str">
        <x:v>9483669</x:v>
      </x:c>
      <x:c r="J223" s="10" t="str">
        <x:v>2023-08-26</x:v>
      </x:c>
      <x:c r="K223" s="10" t="n">
        <x:v>2023</x:v>
      </x:c>
      <x:c r="L223" s="10" t="str">
        <x:v>Feeder Europe</x:v>
      </x:c>
      <x:c r="M223" s="10" t="str">
        <x:v>Le Havre</x:v>
      </x:c>
      <x:c r="N223" s="10" t="str">
        <x:v>C</x:v>
      </x:c>
      <x:c r="O223" s="10" t="str">
        <x:v>https://www.marine-marchande.net/Jourlejour4/AujourleJour-528.html</x:v>
      </x:c>
      <x:c r="P223" s="10" t="str">
        <x:v>Observation portuaire datée.</x:v>
      </x:c>
    </x:row>
    <x:row r="224">
      <x:c r="A224" s="10" t="str">
        <x:v>G009</x:v>
      </x:c>
      <x:c r="B224" s="10" t="str">
        <x:v>G009</x:v>
      </x:c>
      <x:c r="C224" s="10" t="str">
        <x:v>Yang Ming Marine Transport</x:v>
      </x:c>
      <x:c r="D224" s="10" t="str">
        <x:v>Yang Ming Marine Transport</x:v>
      </x:c>
      <x:c r="E224" s="10" t="str">
        <x:v>Rattaché à l'entité opérationnelle</x:v>
      </x:c>
      <x:c r="F224" s="10" t="str">
        <x:v>Yang Ming</x:v>
      </x:c>
      <x:c r="G224" s="10" t="str">
        <x:v>Yang Ming</x:v>
      </x:c>
      <x:c r="H224" s="10" t="str">
        <x:v>YM WREATH</x:v>
      </x:c>
      <x:c r="I224" s="10"/>
      <x:c r="J224" s="10" t="str">
        <x:v>2025-05-07</x:v>
      </x:c>
      <x:c r="K224" s="10" t="n">
        <x:v>2025</x:v>
      </x:c>
      <x:c r="L224" s="10" t="str">
        <x:v>FE4 / Premier Alliance</x:v>
      </x:c>
      <x:c r="M224" s="10" t="str">
        <x:v>Terminal de France</x:v>
      </x:c>
      <x:c r="N224" s="10" t="str">
        <x:v>A1</x:v>
      </x:c>
      <x:c r="O224" s="10" t="str">
        <x:v>https://www.haropaport.com/fr/actualites/les-plus-grands-navires-de-larmement-yang-ming-reviennent-au-havre</x:v>
      </x:c>
      <x:c r="P224" s="10" t="str">
        <x:v>Retour officiel des grands navires Yang Ming.</x:v>
      </x:c>
    </x:row>
    <x:row r="225">
      <x:c r="A225" s="10" t="str">
        <x:v>G010</x:v>
      </x:c>
      <x:c r="B225" s="10" t="str">
        <x:v>G010</x:v>
      </x:c>
      <x:c r="C225" s="10" t="str">
        <x:v>ZIM Integrated Shipping Services</x:v>
      </x:c>
      <x:c r="D225" s="10" t="str">
        <x:v>ZIM Integrated Shipping Services</x:v>
      </x:c>
      <x:c r="E225" s="10" t="str">
        <x:v>Rattaché à l'entité opérationnelle</x:v>
      </x:c>
      <x:c r="F225" s="10" t="str">
        <x:v>ZIM</x:v>
      </x:c>
      <x:c r="G225" s="10" t="str">
        <x:v>ZIM</x:v>
      </x:c>
      <x:c r="H225" s="10" t="str">
        <x:v>ZIM VIETNAM</x:v>
      </x:c>
      <x:c r="I225" s="10" t="str">
        <x:v>9244922</x:v>
      </x:c>
      <x:c r="J225" s="10" t="str">
        <x:v>2024-01-31</x:v>
      </x:c>
      <x:c r="K225" s="10" t="n">
        <x:v>2024</x:v>
      </x:c>
      <x:c r="L225" s="10" t="str">
        <x:v>Service ZIM</x:v>
      </x:c>
      <x:c r="M225" s="10" t="str">
        <x:v>Le Havre</x:v>
      </x:c>
      <x:c r="N225" s="10" t="str">
        <x:v>C</x:v>
      </x:c>
      <x:c r="O225" s="10" t="str">
        <x:v>https://www.marine-marchande.net/Jourlejour4/AujourleJour-533.html</x:v>
      </x:c>
      <x:c r="P225" s="10" t="str">
        <x:v>Présence havraise documentée.</x:v>
      </x:c>
    </x:row>
    <x:row r="226">
      <x:c r="A226" s="10" t="str">
        <x:v>G092</x:v>
      </x:c>
      <x:c r="B226" s="10" t="str">
        <x:v>G092-F01</x:v>
      </x:c>
      <x:c r="C226" s="10" t="str">
        <x:v>Peel Ports</x:v>
      </x:c>
      <x:c r="D226" s="10" t="str">
        <x:v>BG Freight</x:v>
      </x:c>
      <x:c r="E226" s="10" t="str">
        <x:v>Filiale rattachée via Alphaliner</x:v>
      </x:c>
      <x:c r="F226" s="10" t="str">
        <x:v>BG Freight Line</x:v>
      </x:c>
      <x:c r="G226" s="10" t="str">
        <x:v>BG Freight Line</x:v>
      </x:c>
      <x:c r="H226" s="10" t="str">
        <x:v>BG ONYX</x:v>
      </x:c>
      <x:c r="I226" s="10"/>
      <x:c r="J226" s="10" t="str">
        <x:v>2024-09-10</x:v>
      </x:c>
      <x:c r="K226" s="10" t="n">
        <x:v>2024</x:v>
      </x:c>
      <x:c r="L226" s="10" t="str">
        <x:v>Le Havre–Felixstowe</x:v>
      </x:c>
      <x:c r="M226" s="10" t="str">
        <x:v>Le Havre</x:v>
      </x:c>
      <x:c r="N226" s="10" t="str">
        <x:v>A1</x:v>
      </x:c>
      <x:c r="O226" s="10" t="str">
        <x:v>https://www.haropaport.com/fr/actualites/une-nouvelle-ligne-hebdomadaire-au-depart-du-havre-vers-felixstowe</x:v>
      </x:c>
      <x:c r="P226" s="10" t="str">
        <x:v>Escale inaugurale officielle.</x:v>
      </x:c>
    </x:row>
    <x:row r="227">
      <x:c r="A227" s="10" t="str">
        <x:v>COOP-GEMINI</x:v>
      </x:c>
      <x:c r="B227" s="10" t="str">
        <x:v>COOP-GEMINI</x:v>
      </x:c>
      <x:c r="C227" s="10" t="str">
        <x:v>Gemini Cooperation</x:v>
      </x:c>
      <x:c r="D227" s="10" t="str">
        <x:v>Gemini Cooperation</x:v>
      </x:c>
      <x:c r="E227" s="10" t="str">
        <x:v>Coopération opérationnelle, pas une maison mère</x:v>
      </x:c>
      <x:c r="F227" s="10" t="str">
        <x:v>Gemini Cooperation</x:v>
      </x:c>
      <x:c r="G227" s="10" t="str">
        <x:v>Maersk / Hapag-Lloyd</x:v>
      </x:c>
      <x:c r="H227" s="10" t="str">
        <x:v>KASSIAKOS</x:v>
      </x:c>
      <x:c r="I227" s="10" t="str">
        <x:v>9386471</x:v>
      </x:c>
      <x:c r="J227" s="10" t="str">
        <x:v>2026-09-18</x:v>
      </x:c>
      <x:c r="K227" s="10" t="n">
        <x:v>2026</x:v>
      </x:c>
      <x:c r="L227" s="10" t="str">
        <x:v>Gemini</x:v>
      </x:c>
      <x:c r="M227" s="10" t="str">
        <x:v>Le Havre</x:v>
      </x:c>
      <x:c r="N227" s="10" t="str">
        <x:v>A1</x:v>
      </x:c>
      <x:c r="O227" s="10" t="str">
        <x:v>https://www.maersk.com/schedules/port-calls?fromDate=2026-09-18&amp;portGeoId=274LBR94PNZWE</x:v>
      </x:c>
      <x:c r="P227" s="10" t="str">
        <x:v>Escale arrivée le 18/09/2026, recoupée avec les mouvements portuaires.</x:v>
      </x:c>
    </x:row>
    <x:row r="228">
      <x:c r="A228" s="10" t="str">
        <x:v>COOP-GEMINI</x:v>
      </x:c>
      <x:c r="B228" s="10" t="str">
        <x:v>COOP-GEMINI</x:v>
      </x:c>
      <x:c r="C228" s="10" t="str">
        <x:v>Gemini Cooperation</x:v>
      </x:c>
      <x:c r="D228" s="10" t="str">
        <x:v>Gemini Cooperation</x:v>
      </x:c>
      <x:c r="E228" s="10" t="str">
        <x:v>Coopération opérationnelle, pas une maison mère</x:v>
      </x:c>
      <x:c r="F228" s="10" t="str">
        <x:v>Gemini Cooperation</x:v>
      </x:c>
      <x:c r="G228" s="10" t="str">
        <x:v>Maersk / Hapag-Lloyd</x:v>
      </x:c>
      <x:c r="H228" s="10" t="str">
        <x:v>STADT DRESDEN</x:v>
      </x:c>
      <x:c r="I228" s="10"/>
      <x:c r="J228" s="10" t="str">
        <x:v>2025-03-25</x:v>
      </x:c>
      <x:c r="K228" s="10" t="n">
        <x:v>2025</x:v>
      </x:c>
      <x:c r="L228" s="10" t="str">
        <x:v>Med France Shuttle</x:v>
      </x:c>
      <x:c r="M228" s="10" t="str">
        <x:v>Quai de l'Atlantique</x:v>
      </x:c>
      <x:c r="N228" s="10" t="str">
        <x:v>A1</x:v>
      </x:c>
      <x:c r="O228" s="10" t="str">
        <x:v>https://www.haropaport.com/fr/actualites/au-havre-le-stadt-dresden-inaugure-le-service-shuttle-mediterranee-de-gemini-cooperation</x:v>
      </x:c>
      <x:c r="P228" s="10" t="str">
        <x:v>Escale inaugurale officielle.</x:v>
      </x:c>
    </x:row>
    <x:row r="229">
      <x:c r="A229" s="10" t="str">
        <x:v>IND-TRADEWIND</x:v>
      </x:c>
      <x:c r="B229" s="10" t="str">
        <x:v>IND-TRADEWIND</x:v>
      </x:c>
      <x:c r="C229" s="10" t="str">
        <x:v>Tradewind Shipping</x:v>
      </x:c>
      <x:c r="D229" s="10" t="str">
        <x:v>Tradewind Shipping</x:v>
      </x:c>
      <x:c r="E229" s="10" t="str">
        <x:v>Entité indépendante à qualifier dans le référentiel global</x:v>
      </x:c>
      <x:c r="F229" s="10" t="str">
        <x:v>Tradewind Shipping</x:v>
      </x:c>
      <x:c r="G229" s="10" t="str">
        <x:v>Tradewind Shipping</x:v>
      </x:c>
      <x:c r="H229" s="10" t="str">
        <x:v>TRADEWIND</x:v>
      </x:c>
      <x:c r="I229" s="10" t="str">
        <x:v>9367944</x:v>
      </x:c>
      <x:c r="J229" s="10" t="str">
        <x:v>2024-05-14</x:v>
      </x:c>
      <x:c r="K229" s="10" t="n">
        <x:v>2024</x:v>
      </x:c>
      <x:c r="L229" s="10" t="str">
        <x:v>Service conteneurisé</x:v>
      </x:c>
      <x:c r="M229" s="10" t="str">
        <x:v>Le Havre</x:v>
      </x:c>
      <x:c r="N229" s="10" t="str">
        <x:v>C</x:v>
      </x:c>
      <x:c r="O229" s="10" t="str">
        <x:v>https://www.marine-marchande.net/Jourlejour4/AujourleJour-536.html</x:v>
      </x:c>
      <x:c r="P229" s="10" t="str">
        <x:v>Retour au Havre documenté ; navire porte-conteneurs.</x:v>
      </x:c>
    </x:row>
  </x:sheetData>
  <x:conditionalFormatting sqref="N2:N229">
    <x:cfRule type="expression" dxfId="19" priority="1">
      <x:formula>N2="A1"</x:formula>
    </x:cfRule>
    <x:cfRule type="expression" dxfId="20" priority="2">
      <x:formula>N2="A2"</x:formula>
    </x:cfRule>
    <x:cfRule type="expression" dxfId="21" priority="3">
      <x:formula>N2="B1"</x:formula>
    </x:cfRule>
    <x:cfRule type="expression" dxfId="22" priority="4">
      <x:formula>N2="B2"</x:formula>
    </x:cfRule>
    <x:cfRule type="expression" dxfId="23" priority="5">
      <x:formula>N2="C"</x:formula>
    </x:cfRule>
  </x:conditionalFormatting>
  <x:pageMargins left="0.7" right="0.7" top="0.75" bottom="0.75" header="0.3" footer="0.3"/>
  <x:tableParts count="1">
    <x:tablePart xmlns:r="http://schemas.openxmlformats.org/officeDocument/2006/relationships" r:id="R7e2a99b44f354eb9"/>
  </x:tableParts>
</x:worksheet>
</file>

<file path=xl/worksheets/sheet9.xml><?xml version="1.0" encoding="utf-8"?>
<x:worksheet xmlns:x="http://schemas.openxmlformats.org/spreadsheetml/2006/main">
  <x:sheetFormatPr defaultRowHeight="15"/>
  <x:cols>
    <x:col min="1" max="1" width="11" hidden="0" customWidth="1"/>
    <x:col min="2" max="2" width="36" hidden="0" customWidth="1"/>
    <x:col min="3" max="3" width="13" hidden="0" customWidth="1"/>
    <x:col min="4" max="4" width="15" hidden="0" customWidth="1"/>
    <x:col min="5" max="5" width="22" hidden="0" customWidth="1"/>
    <x:col min="6" max="6" width="18" hidden="0" customWidth="1"/>
    <x:col min="7" max="7" width="55" hidden="0" customWidth="1"/>
    <x:col min="8" max="8" width="58" hidden="0" customWidth="1"/>
  </x:cols>
  <x:sheetData>
    <x:row r="1">
      <x:c r="A1" s="44" t="str">
        <x:v>Groupe_ID</x:v>
      </x:c>
      <x:c r="B1" s="44" t="str">
        <x:v>Maison mère / groupe</x:v>
      </x:c>
      <x:c r="C1" s="44" t="str">
        <x:v>Dans V4 89 ?</x:v>
      </x:c>
      <x:c r="D1" s="44" t="str">
        <x:v>Statut Europe</x:v>
      </x:c>
      <x:c r="E1" s="44" t="str">
        <x:v>Nb filiales / marques identifiées</x:v>
      </x:c>
      <x:c r="F1" s="44" t="str">
        <x:v>Nb navires Le Havre</x:v>
      </x:c>
      <x:c r="G1" s="44" t="str">
        <x:v>Source de couverture</x:v>
      </x:c>
      <x:c r="H1" s="44" t="str">
        <x:v>État de couverture</x:v>
      </x:c>
    </x:row>
    <x:row r="2">
      <x:c r="A2" s="10" t="str">
        <x:v>G001</x:v>
      </x:c>
      <x:c r="B2" s="10" t="str">
        <x:v>MSC (Mediterranean Shipping Company)</x:v>
      </x:c>
      <x:c r="C2" s="10" t="str">
        <x:v>OUI</x:v>
      </x:c>
      <x:c r="D2" s="10" t="str">
        <x:v>EU-A</x:v>
      </x:c>
      <x:c r="E2" s="10" t="n">
        <x:f>COUNTIFS('Hiérarchie compagnies V5'!$A$2:$A$153,A2,'Hiérarchie compagnies V5'!$D$2:$D$153,"FILIALE / MARQUE / ENTITÉ")</x:f>
        <x:v>2</x:v>
      </x:c>
      <x:c r="F2" s="10" t="n">
        <x:f>COUNTIF('Navires hiérarchisés V5'!$A$2:$A$229,A2)</x:f>
        <x:v>76</x:v>
      </x:c>
      <x:c r="G2" s="10" t="str">
        <x:v>https://alphaliner.axsmarine.com/PublicTop100//</x:v>
      </x:c>
      <x:c r="H2" s="10" t="str">
        <x:v>A - Filiales consolidées publiquement listées par Alphaliner</x:v>
      </x:c>
    </x:row>
    <x:row r="3">
      <x:c r="A3" s="10" t="str">
        <x:v>G002</x:v>
      </x:c>
      <x:c r="B3" s="10" t="str">
        <x:v>Maersk (A.P. Moller-Maersk)</x:v>
      </x:c>
      <x:c r="C3" s="10" t="str">
        <x:v>OUI</x:v>
      </x:c>
      <x:c r="D3" s="10" t="str">
        <x:v>EU-A</x:v>
      </x:c>
      <x:c r="E3" s="10" t="n">
        <x:f>COUNTIFS('Hiérarchie compagnies V5'!$A$2:$A$153,A3,'Hiérarchie compagnies V5'!$D$2:$D$153,"FILIALE / MARQUE / ENTITÉ")</x:f>
        <x:v>7</x:v>
      </x:c>
      <x:c r="F3" s="10" t="n">
        <x:f>COUNTIF('Navires hiérarchisés V5'!$A$2:$A$229,A3)</x:f>
        <x:v>10</x:v>
      </x:c>
      <x:c r="G3" s="10" t="str">
        <x:v>https://alphaliner.axsmarine.com/PublicTop100//</x:v>
      </x:c>
      <x:c r="H3" s="10" t="str">
        <x:v>A - Filiales consolidées publiquement listées par Alphaliner</x:v>
      </x:c>
    </x:row>
    <x:row r="4">
      <x:c r="A4" s="10" t="str">
        <x:v>G003</x:v>
      </x:c>
      <x:c r="B4" s="10" t="str">
        <x:v>CMA CGM Group</x:v>
      </x:c>
      <x:c r="C4" s="10" t="str">
        <x:v>OUI</x:v>
      </x:c>
      <x:c r="D4" s="10" t="str">
        <x:v>EU-A</x:v>
      </x:c>
      <x:c r="E4" s="10" t="n">
        <x:f>COUNTIFS('Hiérarchie compagnies V5'!$A$2:$A$153,A4,'Hiérarchie compagnies V5'!$D$2:$D$153,"FILIALE / MARQUE / ENTITÉ")</x:f>
        <x:v>10</x:v>
      </x:c>
      <x:c r="F4" s="10" t="n">
        <x:f>COUNTIF('Navires hiérarchisés V5'!$A$2:$A$229,A4)</x:f>
        <x:v>62</x:v>
      </x:c>
      <x:c r="G4" s="10" t="str">
        <x:v>https://alphaliner.axsmarine.com/PublicTop100//</x:v>
      </x:c>
      <x:c r="H4" s="10" t="str">
        <x:v>A - Filiales consolidées publiquement listées par Alphaliner</x:v>
      </x:c>
    </x:row>
    <x:row r="5">
      <x:c r="A5" s="10" t="str">
        <x:v>G004</x:v>
      </x:c>
      <x:c r="B5" s="10" t="str">
        <x:v>COSCO Shipping Lines / COSCO Group</x:v>
      </x:c>
      <x:c r="C5" s="10" t="str">
        <x:v>OUI</x:v>
      </x:c>
      <x:c r="D5" s="10" t="str">
        <x:v>EU-A</x:v>
      </x:c>
      <x:c r="E5" s="10" t="n">
        <x:f>COUNTIFS('Hiérarchie compagnies V5'!$A$2:$A$153,A5,'Hiérarchie compagnies V5'!$D$2:$D$153,"FILIALE / MARQUE / ENTITÉ")</x:f>
        <x:v>7</x:v>
      </x:c>
      <x:c r="F5" s="10" t="n">
        <x:f>COUNTIF('Navires hiérarchisés V5'!$A$2:$A$229,A5)</x:f>
        <x:v>16</x:v>
      </x:c>
      <x:c r="G5" s="10" t="str">
        <x:v>https://alphaliner.axsmarine.com/PublicTop100//</x:v>
      </x:c>
      <x:c r="H5" s="10" t="str">
        <x:v>A - Filiales consolidées publiquement listées par Alphaliner</x:v>
      </x:c>
    </x:row>
    <x:row r="6">
      <x:c r="A6" s="10" t="str">
        <x:v>G005</x:v>
      </x:c>
      <x:c r="B6" s="10" t="str">
        <x:v>Hapag-Lloyd</x:v>
      </x:c>
      <x:c r="C6" s="10" t="str">
        <x:v>OUI</x:v>
      </x:c>
      <x:c r="D6" s="10" t="str">
        <x:v>EU-A</x:v>
      </x:c>
      <x:c r="E6" s="10" t="n">
        <x:f>COUNTIFS('Hiérarchie compagnies V5'!$A$2:$A$153,A6,'Hiérarchie compagnies V5'!$D$2:$D$153,"FILIALE / MARQUE / ENTITÉ")</x:f>
        <x:v>3</x:v>
      </x:c>
      <x:c r="F6" s="10" t="n">
        <x:f>COUNTIF('Navires hiérarchisés V5'!$A$2:$A$229,A6)</x:f>
        <x:v>15</x:v>
      </x:c>
      <x:c r="G6" s="10" t="str">
        <x:v>https://alphaliner.axsmarine.com/PublicTop100//</x:v>
      </x:c>
      <x:c r="H6" s="10" t="str">
        <x:v>A - Filiales consolidées publiquement listées par Alphaliner</x:v>
      </x:c>
    </x:row>
    <x:row r="7">
      <x:c r="A7" s="10" t="str">
        <x:v>G006</x:v>
      </x:c>
      <x:c r="B7" s="10" t="str">
        <x:v>Ocean Network Express (ONE)</x:v>
      </x:c>
      <x:c r="C7" s="10" t="str">
        <x:v>OUI</x:v>
      </x:c>
      <x:c r="D7" s="10" t="str">
        <x:v>EU-A</x:v>
      </x:c>
      <x:c r="E7" s="10" t="n">
        <x:f>COUNTIFS('Hiérarchie compagnies V5'!$A$2:$A$153,A7,'Hiérarchie compagnies V5'!$D$2:$D$153,"FILIALE / MARQUE / ENTITÉ")</x:f>
        <x:v>0</x:v>
      </x:c>
      <x:c r="F7" s="10" t="n">
        <x:f>COUNTIF('Navires hiérarchisés V5'!$A$2:$A$229,A7)</x:f>
        <x:v>33</x:v>
      </x:c>
      <x:c r="G7" s="10" t="str">
        <x:v>https://one-line.com</x:v>
      </x:c>
      <x:c r="H7" s="10" t="str">
        <x:v>C - Pas de filiale maritime distincte identifiée dans les sources utilisées</x:v>
      </x:c>
    </x:row>
    <x:row r="8">
      <x:c r="A8" s="10" t="str">
        <x:v>G007</x:v>
      </x:c>
      <x:c r="B8" s="10" t="str">
        <x:v>Evergreen Marine / Evergreen Line</x:v>
      </x:c>
      <x:c r="C8" s="10" t="str">
        <x:v>OUI</x:v>
      </x:c>
      <x:c r="D8" s="10" t="str">
        <x:v>EU-A</x:v>
      </x:c>
      <x:c r="E8" s="10" t="n">
        <x:f>COUNTIFS('Hiérarchie compagnies V5'!$A$2:$A$153,A8,'Hiérarchie compagnies V5'!$D$2:$D$153,"FILIALE / MARQUE / ENTITÉ")</x:f>
        <x:v>2</x:v>
      </x:c>
      <x:c r="F8" s="10" t="n">
        <x:f>COUNTIF('Navires hiérarchisés V5'!$A$2:$A$229,A8)</x:f>
        <x:v>4</x:v>
      </x:c>
      <x:c r="G8" s="10" t="str">
        <x:v>https://alphaliner.axsmarine.com/PublicTop100//</x:v>
      </x:c>
      <x:c r="H8" s="10" t="str">
        <x:v>A - Filiales consolidées publiquement listées par Alphaliner</x:v>
      </x:c>
    </x:row>
    <x:row r="9">
      <x:c r="A9" s="10" t="str">
        <x:v>G008</x:v>
      </x:c>
      <x:c r="B9" s="10" t="str">
        <x:v>HMM</x:v>
      </x:c>
      <x:c r="C9" s="10" t="str">
        <x:v>OUI</x:v>
      </x:c>
      <x:c r="D9" s="10" t="str">
        <x:v>EU-A</x:v>
      </x:c>
      <x:c r="E9" s="10" t="n">
        <x:f>COUNTIFS('Hiérarchie compagnies V5'!$A$2:$A$153,A9,'Hiérarchie compagnies V5'!$D$2:$D$153,"FILIALE / MARQUE / ENTITÉ")</x:f>
        <x:v>0</x:v>
      </x:c>
      <x:c r="F9" s="10" t="n">
        <x:f>COUNTIF('Navires hiérarchisés V5'!$A$2:$A$229,A9)</x:f>
        <x:v>3</x:v>
      </x:c>
      <x:c r="G9" s="10" t="str">
        <x:v>https://mm21.com</x:v>
      </x:c>
      <x:c r="H9" s="10" t="str">
        <x:v>C - Pas de filiale maritime distincte identifiée dans les sources utilisées</x:v>
      </x:c>
    </x:row>
    <x:row r="10">
      <x:c r="A10" s="10" t="str">
        <x:v>G009</x:v>
      </x:c>
      <x:c r="B10" s="10" t="str">
        <x:v>Yang Ming Marine Transport</x:v>
      </x:c>
      <x:c r="C10" s="10" t="str">
        <x:v>OUI</x:v>
      </x:c>
      <x:c r="D10" s="10" t="str">
        <x:v>EU-A</x:v>
      </x:c>
      <x:c r="E10" s="10" t="n">
        <x:f>COUNTIFS('Hiérarchie compagnies V5'!$A$2:$A$153,A10,'Hiérarchie compagnies V5'!$D$2:$D$153,"FILIALE / MARQUE / ENTITÉ")</x:f>
        <x:v>0</x:v>
      </x:c>
      <x:c r="F10" s="10" t="n">
        <x:f>COUNTIF('Navires hiérarchisés V5'!$A$2:$A$229,A10)</x:f>
        <x:v>1</x:v>
      </x:c>
      <x:c r="G10" s="10" t="str">
        <x:v>https://yangming.com</x:v>
      </x:c>
      <x:c r="H10" s="10" t="str">
        <x:v>C - Pas de filiale maritime distincte identifiée dans les sources utilisées</x:v>
      </x:c>
    </x:row>
    <x:row r="11">
      <x:c r="A11" s="10" t="str">
        <x:v>G010</x:v>
      </x:c>
      <x:c r="B11" s="10" t="str">
        <x:v>ZIM Integrated Shipping Services</x:v>
      </x:c>
      <x:c r="C11" s="10" t="str">
        <x:v>OUI</x:v>
      </x:c>
      <x:c r="D11" s="10" t="str">
        <x:v>EU-A</x:v>
      </x:c>
      <x:c r="E11" s="10" t="n">
        <x:f>COUNTIFS('Hiérarchie compagnies V5'!$A$2:$A$153,A11,'Hiérarchie compagnies V5'!$D$2:$D$153,"FILIALE / MARQUE / ENTITÉ")</x:f>
        <x:v>1</x:v>
      </x:c>
      <x:c r="F11" s="10" t="n">
        <x:f>COUNTIF('Navires hiérarchisés V5'!$A$2:$A$229,A11)</x:f>
        <x:v>1</x:v>
      </x:c>
      <x:c r="G11" s="10" t="str">
        <x:v>https://alphaliner.axsmarine.com/PublicTop100//</x:v>
      </x:c>
      <x:c r="H11" s="10" t="str">
        <x:v>A - Filiales consolidées publiquement listées par Alphaliner</x:v>
      </x:c>
    </x:row>
    <x:row r="12">
      <x:c r="A12" s="10" t="str">
        <x:v>G011</x:v>
      </x:c>
      <x:c r="B12" s="10" t="str">
        <x:v>Wan Hai Lines</x:v>
      </x:c>
      <x:c r="C12" s="10" t="str">
        <x:v>OUI</x:v>
      </x:c>
      <x:c r="D12" s="10" t="str">
        <x:v>EU-A</x:v>
      </x:c>
      <x:c r="E12" s="10" t="n">
        <x:f>COUNTIFS('Hiérarchie compagnies V5'!$A$2:$A$153,A12,'Hiérarchie compagnies V5'!$D$2:$D$153,"FILIALE / MARQUE / ENTITÉ")</x:f>
        <x:v>0</x:v>
      </x:c>
      <x:c r="F12" s="10" t="n">
        <x:f>COUNTIF('Navires hiérarchisés V5'!$A$2:$A$229,A12)</x:f>
        <x:v>0</x:v>
      </x:c>
      <x:c r="G12" s="10" t="str">
        <x:v>https://wanhai.com</x:v>
      </x:c>
      <x:c r="H12" s="10" t="str">
        <x:v>C - Pas de filiale maritime distincte identifiée dans les sources utilisées</x:v>
      </x:c>
    </x:row>
    <x:row r="13">
      <x:c r="A13" s="10" t="str">
        <x:v>G012</x:v>
      </x:c>
      <x:c r="B13" s="10" t="str">
        <x:v>PIL (Pacific International Lines)</x:v>
      </x:c>
      <x:c r="C13" s="10" t="str">
        <x:v>OUI</x:v>
      </x:c>
      <x:c r="D13" s="10" t="str">
        <x:v>NE</x:v>
      </x:c>
      <x:c r="E13" s="10" t="n">
        <x:f>COUNTIFS('Hiérarchie compagnies V5'!$A$2:$A$153,A13,'Hiérarchie compagnies V5'!$D$2:$D$153,"FILIALE / MARQUE / ENTITÉ")</x:f>
        <x:v>2</x:v>
      </x:c>
      <x:c r="F13" s="10" t="n">
        <x:f>COUNTIF('Navires hiérarchisés V5'!$A$2:$A$229,A13)</x:f>
        <x:v>0</x:v>
      </x:c>
      <x:c r="G13" s="10" t="str">
        <x:v>https://alphaliner.axsmarine.com/PublicTop100//</x:v>
      </x:c>
      <x:c r="H13" s="10" t="str">
        <x:v>A - Filiales consolidées publiquement listées par Alphaliner</x:v>
      </x:c>
    </x:row>
    <x:row r="14">
      <x:c r="A14" s="10" t="str">
        <x:v>G013</x:v>
      </x:c>
      <x:c r="B14" s="10" t="str">
        <x:v>X-Press Feeders</x:v>
      </x:c>
      <x:c r="C14" s="10" t="str">
        <x:v>OUI</x:v>
      </x:c>
      <x:c r="D14" s="10" t="str">
        <x:v>EU-A</x:v>
      </x:c>
      <x:c r="E14" s="10" t="n">
        <x:f>COUNTIFS('Hiérarchie compagnies V5'!$A$2:$A$153,A14,'Hiérarchie compagnies V5'!$D$2:$D$153,"FILIALE / MARQUE / ENTITÉ")</x:f>
        <x:v>0</x:v>
      </x:c>
      <x:c r="F14" s="10" t="n">
        <x:f>COUNTIF('Navires hiérarchisés V5'!$A$2:$A$229,A14)</x:f>
        <x:v>1</x:v>
      </x:c>
      <x:c r="G14" s="10" t="str">
        <x:v>https://x-pressfeeders.com</x:v>
      </x:c>
      <x:c r="H14" s="10" t="str">
        <x:v>C - Pas de filiale maritime distincte identifiée dans les sources utilisées</x:v>
      </x:c>
    </x:row>
    <x:row r="15">
      <x:c r="A15" s="10" t="str">
        <x:v>G014</x:v>
      </x:c>
      <x:c r="B15" s="10" t="str">
        <x:v>SITC International</x:v>
      </x:c>
      <x:c r="C15" s="10" t="str">
        <x:v>OUI</x:v>
      </x:c>
      <x:c r="D15" s="10" t="str">
        <x:v>NE</x:v>
      </x:c>
      <x:c r="E15" s="10" t="n">
        <x:f>COUNTIFS('Hiérarchie compagnies V5'!$A$2:$A$153,A15,'Hiérarchie compagnies V5'!$D$2:$D$153,"FILIALE / MARQUE / ENTITÉ")</x:f>
        <x:v>0</x:v>
      </x:c>
      <x:c r="F15" s="10" t="n">
        <x:f>COUNTIF('Navires hiérarchisés V5'!$A$2:$A$229,A15)</x:f>
        <x:v>0</x:v>
      </x:c>
      <x:c r="G15" s="10" t="str">
        <x:v>https://itc.com</x:v>
      </x:c>
      <x:c r="H15" s="10" t="str">
        <x:v>C - Pas de filiale maritime distincte identifiée dans les sources utilisées</x:v>
      </x:c>
    </x:row>
    <x:row r="16">
      <x:c r="A16" s="10" t="str">
        <x:v>G015</x:v>
      </x:c>
      <x:c r="B16" s="10" t="str">
        <x:v>KMTC (Korea Marine Transport)</x:v>
      </x:c>
      <x:c r="C16" s="10" t="str">
        <x:v>OUI</x:v>
      </x:c>
      <x:c r="D16" s="10" t="str">
        <x:v>NE</x:v>
      </x:c>
      <x:c r="E16" s="10" t="n">
        <x:f>COUNTIFS('Hiérarchie compagnies V5'!$A$2:$A$153,A16,'Hiérarchie compagnies V5'!$D$2:$D$153,"FILIALE / MARQUE / ENTITÉ")</x:f>
        <x:v>0</x:v>
      </x:c>
      <x:c r="F16" s="10" t="n">
        <x:f>COUNTIF('Navires hiérarchisés V5'!$A$2:$A$229,A16)</x:f>
        <x:v>0</x:v>
      </x:c>
      <x:c r="G16" s="10" t="str">
        <x:v>https://kmtc.co.kr</x:v>
      </x:c>
      <x:c r="H16" s="10" t="str">
        <x:v>C - Pas de filiale maritime distincte identifiée dans les sources utilisées</x:v>
      </x:c>
    </x:row>
    <x:row r="17">
      <x:c r="A17" s="10" t="str">
        <x:v>G016</x:v>
      </x:c>
      <x:c r="B17" s="10" t="str">
        <x:v>Unifeeder (DP World)</x:v>
      </x:c>
      <x:c r="C17" s="10" t="str">
        <x:v>OUI</x:v>
      </x:c>
      <x:c r="D17" s="10" t="str">
        <x:v>EU-A</x:v>
      </x:c>
      <x:c r="E17" s="10" t="n">
        <x:f>COUNTIFS('Hiérarchie compagnies V5'!$A$2:$A$153,A17,'Hiérarchie compagnies V5'!$D$2:$D$153,"FILIALE / MARQUE / ENTITÉ")</x:f>
        <x:v>5</x:v>
      </x:c>
      <x:c r="F17" s="10" t="n">
        <x:f>COUNTIF('Navires hiérarchisés V5'!$A$2:$A$229,A17)</x:f>
        <x:v>0</x:v>
      </x:c>
      <x:c r="G17" s="10" t="str">
        <x:v>https://alphaliner.axsmarine.com/PublicTop100//</x:v>
      </x:c>
      <x:c r="H17" s="10" t="str">
        <x:v>A - Filiales consolidées publiquement listées par Alphaliner</x:v>
      </x:c>
    </x:row>
    <x:row r="18">
      <x:c r="A18" s="10" t="str">
        <x:v>G017</x:v>
      </x:c>
      <x:c r="B18" s="10" t="str">
        <x:v>IRISL Group</x:v>
      </x:c>
      <x:c r="C18" s="10" t="str">
        <x:v>OUI</x:v>
      </x:c>
      <x:c r="D18" s="10" t="str">
        <x:v>EU-B</x:v>
      </x:c>
      <x:c r="E18" s="10" t="n">
        <x:f>COUNTIFS('Hiérarchie compagnies V5'!$A$2:$A$153,A18,'Hiérarchie compagnies V5'!$D$2:$D$153,"FILIALE / MARQUE / ENTITÉ")</x:f>
        <x:v>4</x:v>
      </x:c>
      <x:c r="F18" s="10" t="n">
        <x:f>COUNTIF('Navires hiérarchisés V5'!$A$2:$A$229,A18)</x:f>
        <x:v>0</x:v>
      </x:c>
      <x:c r="G18" s="10" t="str">
        <x:v>https://alphaliner.axsmarine.com/PublicTop100//</x:v>
      </x:c>
      <x:c r="H18" s="10" t="str">
        <x:v>A - Filiales consolidées publiquement listées par Alphaliner</x:v>
      </x:c>
    </x:row>
    <x:row r="19">
      <x:c r="A19" s="10" t="str">
        <x:v>G018</x:v>
      </x:c>
      <x:c r="B19" s="10" t="str">
        <x:v>Global Feeder Shipping (AD Ports)</x:v>
      </x:c>
      <x:c r="C19" s="10" t="str">
        <x:v>OUI</x:v>
      </x:c>
      <x:c r="D19" s="10" t="str">
        <x:v>NE</x:v>
      </x:c>
      <x:c r="E19" s="10" t="n">
        <x:f>COUNTIFS('Hiérarchie compagnies V5'!$A$2:$A$153,A19,'Hiérarchie compagnies V5'!$D$2:$D$153,"FILIALE / MARQUE / ENTITÉ")</x:f>
        <x:v>2</x:v>
      </x:c>
      <x:c r="F19" s="10" t="n">
        <x:f>COUNTIF('Navires hiérarchisés V5'!$A$2:$A$229,A19)</x:f>
        <x:v>0</x:v>
      </x:c>
      <x:c r="G19" s="10" t="str">
        <x:v>https://www.adportsgroup.com/</x:v>
      </x:c>
      <x:c r="H19" s="10" t="str">
        <x:v>B - Entités maritimes identifiées dans la V4 / sources groupe</x:v>
      </x:c>
    </x:row>
    <x:row r="20">
      <x:c r="A20" s="10" t="str">
        <x:v>G019</x:v>
      </x:c>
      <x:c r="B20" s="10" t="str">
        <x:v>Sinokor Merchant Marine</x:v>
      </x:c>
      <x:c r="C20" s="10" t="str">
        <x:v>OUI</x:v>
      </x:c>
      <x:c r="D20" s="10" t="str">
        <x:v>NE</x:v>
      </x:c>
      <x:c r="E20" s="10" t="n">
        <x:f>COUNTIFS('Hiérarchie compagnies V5'!$A$2:$A$153,A20,'Hiérarchie compagnies V5'!$D$2:$D$153,"FILIALE / MARQUE / ENTITÉ")</x:f>
        <x:v>1</x:v>
      </x:c>
      <x:c r="F20" s="10" t="n">
        <x:f>COUNTIF('Navires hiérarchisés V5'!$A$2:$A$229,A20)</x:f>
        <x:v>0</x:v>
      </x:c>
      <x:c r="G20" s="10" t="str">
        <x:v>https://alphaliner.axsmarine.com/PublicTop100//</x:v>
      </x:c>
      <x:c r="H20" s="10" t="str">
        <x:v>A - Filiales consolidées publiquement listées par Alphaliner</x:v>
      </x:c>
    </x:row>
    <x:row r="21">
      <x:c r="A21" s="10" t="str">
        <x:v>G020</x:v>
      </x:c>
      <x:c r="B21" s="10" t="str">
        <x:v>Emirates Shipping Line</x:v>
      </x:c>
      <x:c r="C21" s="10" t="str">
        <x:v>OUI</x:v>
      </x:c>
      <x:c r="D21" s="10" t="str">
        <x:v>EU-A</x:v>
      </x:c>
      <x:c r="E21" s="10" t="n">
        <x:f>COUNTIFS('Hiérarchie compagnies V5'!$A$2:$A$153,A21,'Hiérarchie compagnies V5'!$D$2:$D$153,"FILIALE / MARQUE / ENTITÉ")</x:f>
        <x:v>0</x:v>
      </x:c>
      <x:c r="F21" s="10" t="n">
        <x:f>COUNTIF('Navires hiérarchisés V5'!$A$2:$A$229,A21)</x:f>
        <x:v>0</x:v>
      </x:c>
      <x:c r="G21" s="10" t="str">
        <x:v>https://emiratesline.com</x:v>
      </x:c>
      <x:c r="H21" s="10" t="str">
        <x:v>C - Pas de filiale maritime distincte identifiée dans les sources utilisées</x:v>
      </x:c>
    </x:row>
    <x:row r="22">
      <x:c r="A22" s="10" t="str">
        <x:v>G021</x:v>
      </x:c>
      <x:c r="B22" s="10" t="str">
        <x:v>TS Lines</x:v>
      </x:c>
      <x:c r="C22" s="10" t="str">
        <x:v>OUI</x:v>
      </x:c>
      <x:c r="D22" s="10" t="str">
        <x:v>NE</x:v>
      </x:c>
      <x:c r="E22" s="10" t="n">
        <x:f>COUNTIFS('Hiérarchie compagnies V5'!$A$2:$A$153,A22,'Hiérarchie compagnies V5'!$D$2:$D$153,"FILIALE / MARQUE / ENTITÉ")</x:f>
        <x:v>0</x:v>
      </x:c>
      <x:c r="F22" s="10" t="n">
        <x:f>COUNTIF('Navires hiérarchisés V5'!$A$2:$A$229,A22)</x:f>
        <x:v>0</x:v>
      </x:c>
      <x:c r="G22" s="10" t="str">
        <x:v>https://lines.com</x:v>
      </x:c>
      <x:c r="H22" s="10" t="str">
        <x:v>C - Pas de filiale maritime distincte identifiée dans les sources utilisées</x:v>
      </x:c>
    </x:row>
    <x:row r="23">
      <x:c r="A23" s="10" t="str">
        <x:v>G022</x:v>
      </x:c>
      <x:c r="B23" s="10" t="str">
        <x:v>RCL (Regional Container Lines)</x:v>
      </x:c>
      <x:c r="C23" s="10" t="str">
        <x:v>OUI</x:v>
      </x:c>
      <x:c r="D23" s="10" t="str">
        <x:v>NE</x:v>
      </x:c>
      <x:c r="E23" s="10" t="n">
        <x:f>COUNTIFS('Hiérarchie compagnies V5'!$A$2:$A$153,A23,'Hiérarchie compagnies V5'!$D$2:$D$153,"FILIALE / MARQUE / ENTITÉ")</x:f>
        <x:v>0</x:v>
      </x:c>
      <x:c r="F23" s="10" t="n">
        <x:f>COUNTIF('Navires hiérarchisés V5'!$A$2:$A$229,A23)</x:f>
        <x:v>0</x:v>
      </x:c>
      <x:c r="G23" s="10" t="str">
        <x:v>https://rclgroup.com</x:v>
      </x:c>
      <x:c r="H23" s="10" t="str">
        <x:v>C - Pas de filiale maritime distincte identifiée dans les sources utilisées</x:v>
      </x:c>
    </x:row>
    <x:row r="24">
      <x:c r="A24" s="10" t="str">
        <x:v>G023</x:v>
      </x:c>
      <x:c r="B24" s="10" t="str">
        <x:v>Ningbo Ocean Shipping</x:v>
      </x:c>
      <x:c r="C24" s="10" t="str">
        <x:v>OUI</x:v>
      </x:c>
      <x:c r="D24" s="10" t="str">
        <x:v>NE</x:v>
      </x:c>
      <x:c r="E24" s="10" t="n">
        <x:f>COUNTIFS('Hiérarchie compagnies V5'!$A$2:$A$153,A24,'Hiérarchie compagnies V5'!$D$2:$D$153,"FILIALE / MARQUE / ENTITÉ")</x:f>
        <x:v>0</x:v>
      </x:c>
      <x:c r="F24" s="10" t="n">
        <x:f>COUNTIF('Navires hiérarchisés V5'!$A$2:$A$229,A24)</x:f>
        <x:v>0</x:v>
      </x:c>
      <x:c r="G24" s="10" t="str">
        <x:v>https://nbosco.com</x:v>
      </x:c>
      <x:c r="H24" s="10" t="str">
        <x:v>C - Pas de filiale maritime distincte identifiée dans les sources utilisées</x:v>
      </x:c>
    </x:row>
    <x:row r="25">
      <x:c r="A25" s="10" t="str">
        <x:v>G024</x:v>
      </x:c>
      <x:c r="B25" s="10" t="str">
        <x:v>Interasia Lines</x:v>
      </x:c>
      <x:c r="C25" s="10" t="str">
        <x:v>OUI</x:v>
      </x:c>
      <x:c r="D25" s="10" t="str">
        <x:v>NE</x:v>
      </x:c>
      <x:c r="E25" s="10" t="n">
        <x:f>COUNTIFS('Hiérarchie compagnies V5'!$A$2:$A$153,A25,'Hiérarchie compagnies V5'!$D$2:$D$153,"FILIALE / MARQUE / ENTITÉ")</x:f>
        <x:v>0</x:v>
      </x:c>
      <x:c r="F25" s="10" t="n">
        <x:f>COUNTIF('Navires hiérarchisés V5'!$A$2:$A$229,A25)</x:f>
        <x:v>0</x:v>
      </x:c>
      <x:c r="G25" s="10" t="str">
        <x:v>https://interasia.cc</x:v>
      </x:c>
      <x:c r="H25" s="10" t="str">
        <x:v>C - Pas de filiale maritime distincte identifiée dans les sources utilisées</x:v>
      </x:c>
    </x:row>
    <x:row r="26">
      <x:c r="A26" s="10" t="str">
        <x:v>G025</x:v>
      </x:c>
      <x:c r="B26" s="10" t="str">
        <x:v>China United Lines (CULines)</x:v>
      </x:c>
      <x:c r="C26" s="10" t="str">
        <x:v>OUI</x:v>
      </x:c>
      <x:c r="D26" s="10" t="str">
        <x:v>EU-A</x:v>
      </x:c>
      <x:c r="E26" s="10" t="n">
        <x:f>COUNTIFS('Hiérarchie compagnies V5'!$A$2:$A$153,A26,'Hiérarchie compagnies V5'!$D$2:$D$153,"FILIALE / MARQUE / ENTITÉ")</x:f>
        <x:v>0</x:v>
      </x:c>
      <x:c r="F26" s="10" t="n">
        <x:f>COUNTIF('Navires hiérarchisés V5'!$A$2:$A$229,A26)</x:f>
        <x:v>0</x:v>
      </x:c>
      <x:c r="G26" s="10" t="str">
        <x:v>https://culines.com</x:v>
      </x:c>
      <x:c r="H26" s="10" t="str">
        <x:v>C - Pas de filiale maritime distincte identifiée dans les sources utilisées</x:v>
      </x:c>
    </x:row>
    <x:row r="27">
      <x:c r="A27" s="10" t="str">
        <x:v>G026</x:v>
      </x:c>
      <x:c r="B27" s="10" t="str">
        <x:v>Tangshan Port Hede Shipping</x:v>
      </x:c>
      <x:c r="C27" s="10" t="str">
        <x:v>OUI</x:v>
      </x:c>
      <x:c r="D27" s="10" t="str">
        <x:v>NE</x:v>
      </x:c>
      <x:c r="E27" s="10" t="n">
        <x:f>COUNTIFS('Hiérarchie compagnies V5'!$A$2:$A$153,A27,'Hiérarchie compagnies V5'!$D$2:$D$153,"FILIALE / MARQUE / ENTITÉ")</x:f>
        <x:v>0</x:v>
      </x:c>
      <x:c r="F27" s="10" t="n">
        <x:f>COUNTIF('Navires hiérarchisés V5'!$A$2:$A$229,A27)</x:f>
        <x:v>0</x:v>
      </x:c>
      <x:c r="G27" s="10" t="str">
        <x:v>https://ede.com</x:v>
      </x:c>
      <x:c r="H27" s="10" t="str">
        <x:v>C - Pas de filiale maritime distincte identifiée dans les sources utilisées</x:v>
      </x:c>
    </x:row>
    <x:row r="28">
      <x:c r="A28" s="10" t="str">
        <x:v>G027</x:v>
      </x:c>
      <x:c r="B28" s="10" t="str">
        <x:v>Grimaldi Group</x:v>
      </x:c>
      <x:c r="C28" s="10" t="str">
        <x:v>OUI</x:v>
      </x:c>
      <x:c r="D28" s="10" t="str">
        <x:v>EU-A</x:v>
      </x:c>
      <x:c r="E28" s="10" t="n">
        <x:f>COUNTIFS('Hiérarchie compagnies V5'!$A$2:$A$153,A28,'Hiérarchie compagnies V5'!$D$2:$D$153,"FILIALE / MARQUE / ENTITÉ")</x:f>
        <x:v>2</x:v>
      </x:c>
      <x:c r="F28" s="10" t="n">
        <x:f>COUNTIF('Navires hiérarchisés V5'!$A$2:$A$229,A28)</x:f>
        <x:v>0</x:v>
      </x:c>
      <x:c r="G28" s="10" t="str">
        <x:v>https://alphaliner.axsmarine.com/PublicTop100//</x:v>
      </x:c>
      <x:c r="H28" s="10" t="str">
        <x:v>A - Filiales consolidées publiquement listées par Alphaliner</x:v>
      </x:c>
    </x:row>
    <x:row r="29">
      <x:c r="A29" s="10" t="str">
        <x:v>G028</x:v>
      </x:c>
      <x:c r="B29" s="10" t="str">
        <x:v>Antong Holdings (QASC / Ansheng)</x:v>
      </x:c>
      <x:c r="C29" s="10" t="str">
        <x:v>OUI</x:v>
      </x:c>
      <x:c r="D29" s="10" t="str">
        <x:v>NE</x:v>
      </x:c>
      <x:c r="E29" s="10" t="n">
        <x:f>COUNTIFS('Hiérarchie compagnies V5'!$A$2:$A$153,A29,'Hiérarchie compagnies V5'!$D$2:$D$153,"FILIALE / MARQUE / ENTITÉ")</x:f>
        <x:v>0</x:v>
      </x:c>
      <x:c r="F29" s="10" t="n">
        <x:f>COUNTIF('Navires hiérarchisés V5'!$A$2:$A$229,A29)</x:f>
        <x:v>0</x:v>
      </x:c>
      <x:c r="G29" s="10" t="str">
        <x:v>https://qgsm.com</x:v>
      </x:c>
      <x:c r="H29" s="10" t="str">
        <x:v>C - Pas de filiale maritime distincte identifiée dans les sources utilisées</x:v>
      </x:c>
    </x:row>
    <x:row r="30">
      <x:c r="A30" s="10" t="str">
        <x:v>G029</x:v>
      </x:c>
      <x:c r="B30" s="10" t="str">
        <x:v>SM Line</x:v>
      </x:c>
      <x:c r="C30" s="10" t="str">
        <x:v>OUI</x:v>
      </x:c>
      <x:c r="D30" s="10" t="str">
        <x:v>NE</x:v>
      </x:c>
      <x:c r="E30" s="10" t="n">
        <x:f>COUNTIFS('Hiérarchie compagnies V5'!$A$2:$A$153,A30,'Hiérarchie compagnies V5'!$D$2:$D$153,"FILIALE / MARQUE / ENTITÉ")</x:f>
        <x:v>0</x:v>
      </x:c>
      <x:c r="F30" s="10" t="n">
        <x:f>COUNTIF('Navires hiérarchisés V5'!$A$2:$A$229,A30)</x:f>
        <x:v>0</x:v>
      </x:c>
      <x:c r="G30" s="10" t="str">
        <x:v>https://mlines.com</x:v>
      </x:c>
      <x:c r="H30" s="10" t="str">
        <x:v>C - Pas de filiale maritime distincte identifiée dans les sources utilisées</x:v>
      </x:c>
    </x:row>
    <x:row r="31">
      <x:c r="A31" s="10" t="str">
        <x:v>G030</x:v>
      </x:c>
      <x:c r="B31" s="10" t="str">
        <x:v>Sinotrans</x:v>
      </x:c>
      <x:c r="C31" s="10" t="str">
        <x:v>OUI</x:v>
      </x:c>
      <x:c r="D31" s="10" t="str">
        <x:v>NE</x:v>
      </x:c>
      <x:c r="E31" s="10" t="n">
        <x:f>COUNTIFS('Hiérarchie compagnies V5'!$A$2:$A$153,A31,'Hiérarchie compagnies V5'!$D$2:$D$153,"FILIALE / MARQUE / ENTITÉ")</x:f>
        <x:v>0</x:v>
      </x:c>
      <x:c r="F31" s="10" t="n">
        <x:f>COUNTIF('Navires hiérarchisés V5'!$A$2:$A$229,A31)</x:f>
        <x:v>0</x:v>
      </x:c>
      <x:c r="G31" s="10" t="str">
        <x:v>https://inotrans.com</x:v>
      </x:c>
      <x:c r="H31" s="10" t="str">
        <x:v>C - Pas de filiale maritime distincte identifiée dans les sources utilisées</x:v>
      </x:c>
    </x:row>
    <x:row r="32">
      <x:c r="A32" s="10" t="str">
        <x:v>G031</x:v>
      </x:c>
      <x:c r="B32" s="10" t="str">
        <x:v>Matson</x:v>
      </x:c>
      <x:c r="C32" s="10" t="str">
        <x:v>OUI</x:v>
      </x:c>
      <x:c r="D32" s="10" t="str">
        <x:v>NE</x:v>
      </x:c>
      <x:c r="E32" s="10" t="n">
        <x:f>COUNTIFS('Hiérarchie compagnies V5'!$A$2:$A$153,A32,'Hiérarchie compagnies V5'!$D$2:$D$153,"FILIALE / MARQUE / ENTITÉ")</x:f>
        <x:v>0</x:v>
      </x:c>
      <x:c r="F32" s="10" t="n">
        <x:f>COUNTIF('Navires hiérarchisés V5'!$A$2:$A$229,A32)</x:f>
        <x:v>0</x:v>
      </x:c>
      <x:c r="G32" s="10" t="str">
        <x:v>https://matson.com</x:v>
      </x:c>
      <x:c r="H32" s="10" t="str">
        <x:v>C - Pas de filiale maritime distincte identifiée dans les sources utilisées</x:v>
      </x:c>
    </x:row>
    <x:row r="33">
      <x:c r="A33" s="10" t="str">
        <x:v>G032</x:v>
      </x:c>
      <x:c r="B33" s="10" t="str">
        <x:v>Shanghai Jin Jiang Shipping</x:v>
      </x:c>
      <x:c r="C33" s="10" t="str">
        <x:v>OUI</x:v>
      </x:c>
      <x:c r="D33" s="10" t="str">
        <x:v>NE</x:v>
      </x:c>
      <x:c r="E33" s="10" t="n">
        <x:f>COUNTIFS('Hiérarchie compagnies V5'!$A$2:$A$153,A33,'Hiérarchie compagnies V5'!$D$2:$D$153,"FILIALE / MARQUE / ENTITÉ")</x:f>
        <x:v>2</x:v>
      </x:c>
      <x:c r="F33" s="10" t="n">
        <x:f>COUNTIF('Navires hiérarchisés V5'!$A$2:$A$229,A33)</x:f>
        <x:v>0</x:v>
      </x:c>
      <x:c r="G33" s="10" t="str">
        <x:v>https://alphaliner.axsmarine.com/PublicTop100//</x:v>
      </x:c>
      <x:c r="H33" s="10" t="str">
        <x:v>A - Filiales consolidées publiquement listées par Alphaliner</x:v>
      </x:c>
    </x:row>
    <x:row r="34">
      <x:c r="A34" s="10" t="str">
        <x:v>G033</x:v>
      </x:c>
      <x:c r="B34" s="10" t="str">
        <x:v>Swire Shipping</x:v>
      </x:c>
      <x:c r="C34" s="10" t="str">
        <x:v>OUI</x:v>
      </x:c>
      <x:c r="D34" s="10" t="str">
        <x:v>NE</x:v>
      </x:c>
      <x:c r="E34" s="10" t="n">
        <x:f>COUNTIFS('Hiérarchie compagnies V5'!$A$2:$A$153,A34,'Hiérarchie compagnies V5'!$D$2:$D$153,"FILIALE / MARQUE / ENTITÉ")</x:f>
        <x:v>2</x:v>
      </x:c>
      <x:c r="F34" s="10" t="n">
        <x:f>COUNTIF('Navires hiérarchisés V5'!$A$2:$A$229,A34)</x:f>
        <x:v>0</x:v>
      </x:c>
      <x:c r="G34" s="10" t="str">
        <x:v>https://alphaliner.axsmarine.com/PublicTop100//</x:v>
      </x:c>
      <x:c r="H34" s="10" t="str">
        <x:v>A - Filiales consolidées publiquement listées par Alphaliner</x:v>
      </x:c>
    </x:row>
    <x:row r="35">
      <x:c r="A35" s="10" t="str">
        <x:v>G034</x:v>
      </x:c>
      <x:c r="B35" s="10" t="str">
        <x:v>Zhonggu Logistics</x:v>
      </x:c>
      <x:c r="C35" s="10" t="str">
        <x:v>OUI</x:v>
      </x:c>
      <x:c r="D35" s="10" t="str">
        <x:v>NE</x:v>
      </x:c>
      <x:c r="E35" s="10" t="n">
        <x:f>COUNTIFS('Hiérarchie compagnies V5'!$A$2:$A$153,A35,'Hiérarchie compagnies V5'!$D$2:$D$153,"FILIALE / MARQUE / ENTITÉ")</x:f>
        <x:v>0</x:v>
      </x:c>
      <x:c r="F35" s="10" t="n">
        <x:f>COUNTIF('Navires hiérarchisés V5'!$A$2:$A$229,A35)</x:f>
        <x:v>0</x:v>
      </x:c>
      <x:c r="G35" s="10" t="str">
        <x:v>https://zhonggushipping.com</x:v>
      </x:c>
      <x:c r="H35" s="10" t="str">
        <x:v>C - Pas de filiale maritime distincte identifiée dans les sources utilisées</x:v>
      </x:c>
    </x:row>
    <x:row r="36">
      <x:c r="A36" s="10" t="str">
        <x:v>G035</x:v>
      </x:c>
      <x:c r="B36" s="10" t="str">
        <x:v>Akkon Lines</x:v>
      </x:c>
      <x:c r="C36" s="10" t="str">
        <x:v>OUI</x:v>
      </x:c>
      <x:c r="D36" s="10" t="str">
        <x:v>EU-A</x:v>
      </x:c>
      <x:c r="E36" s="10" t="n">
        <x:f>COUNTIFS('Hiérarchie compagnies V5'!$A$2:$A$153,A36,'Hiérarchie compagnies V5'!$D$2:$D$153,"FILIALE / MARQUE / ENTITÉ")</x:f>
        <x:v>0</x:v>
      </x:c>
      <x:c r="F36" s="10" t="n">
        <x:f>COUNTIF('Navires hiérarchisés V5'!$A$2:$A$229,A36)</x:f>
        <x:v>0</x:v>
      </x:c>
      <x:c r="G36" s="10" t="str">
        <x:v>https://akkonlines.com</x:v>
      </x:c>
      <x:c r="H36" s="10" t="str">
        <x:v>C - Pas de filiale maritime distincte identifiée dans les sources utilisées</x:v>
      </x:c>
    </x:row>
    <x:row r="37">
      <x:c r="A37" s="10" t="str">
        <x:v>G036</x:v>
      </x:c>
      <x:c r="B37" s="10" t="str">
        <x:v>FESCO</x:v>
      </x:c>
      <x:c r="C37" s="10" t="str">
        <x:v>OUI</x:v>
      </x:c>
      <x:c r="D37" s="10" t="str">
        <x:v>EU-A</x:v>
      </x:c>
      <x:c r="E37" s="10" t="n">
        <x:f>COUNTIFS('Hiérarchie compagnies V5'!$A$2:$A$153,A37,'Hiérarchie compagnies V5'!$D$2:$D$153,"FILIALE / MARQUE / ENTITÉ")</x:f>
        <x:v>1</x:v>
      </x:c>
      <x:c r="F37" s="10" t="n">
        <x:f>COUNTIF('Navires hiérarchisés V5'!$A$2:$A$229,A37)</x:f>
        <x:v>0</x:v>
      </x:c>
      <x:c r="G37" s="10" t="str">
        <x:v>https://alphaliner.axsmarine.com/PublicTop100//</x:v>
      </x:c>
      <x:c r="H37" s="10" t="str">
        <x:v>A - Filiales consolidées publiquement listées par Alphaliner</x:v>
      </x:c>
    </x:row>
    <x:row r="38">
      <x:c r="A38" s="10" t="str">
        <x:v>G037</x:v>
      </x:c>
      <x:c r="B38" s="10" t="str">
        <x:v>Arkas Line / EMES</x:v>
      </x:c>
      <x:c r="C38" s="10" t="str">
        <x:v>OUI</x:v>
      </x:c>
      <x:c r="D38" s="10" t="str">
        <x:v>EU-A</x:v>
      </x:c>
      <x:c r="E38" s="10" t="n">
        <x:f>COUNTIFS('Hiérarchie compagnies V5'!$A$2:$A$153,A38,'Hiérarchie compagnies V5'!$D$2:$D$153,"FILIALE / MARQUE / ENTITÉ")</x:f>
        <x:v>0</x:v>
      </x:c>
      <x:c r="F38" s="10" t="n">
        <x:f>COUNTIF('Navires hiérarchisés V5'!$A$2:$A$229,A38)</x:f>
        <x:v>0</x:v>
      </x:c>
      <x:c r="G38" s="10" t="str">
        <x:v>https://arkas.com.tr</x:v>
      </x:c>
      <x:c r="H38" s="10" t="str">
        <x:v>C - Pas de filiale maritime distincte identifiée dans les sources utilisées</x:v>
      </x:c>
    </x:row>
    <x:row r="39">
      <x:c r="A39" s="10" t="str">
        <x:v>G038</x:v>
      </x:c>
      <x:c r="B39" s="10" t="str">
        <x:v>Seaboard Marine</x:v>
      </x:c>
      <x:c r="C39" s="10" t="str">
        <x:v>OUI</x:v>
      </x:c>
      <x:c r="D39" s="10" t="str">
        <x:v>NE</x:v>
      </x:c>
      <x:c r="E39" s="10" t="n">
        <x:f>COUNTIFS('Hiérarchie compagnies V5'!$A$2:$A$153,A39,'Hiérarchie compagnies V5'!$D$2:$D$153,"FILIALE / MARQUE / ENTITÉ")</x:f>
        <x:v>0</x:v>
      </x:c>
      <x:c r="F39" s="10" t="n">
        <x:f>COUNTIF('Navires hiérarchisés V5'!$A$2:$A$229,A39)</x:f>
        <x:v>0</x:v>
      </x:c>
      <x:c r="G39" s="10" t="str">
        <x:v>https://eaboardmarine.com</x:v>
      </x:c>
      <x:c r="H39" s="10" t="str">
        <x:v>C - Pas de filiale maritime distincte identifiée dans les sources utilisées</x:v>
      </x:c>
    </x:row>
    <x:row r="40">
      <x:c r="A40" s="10" t="str">
        <x:v>G039</x:v>
      </x:c>
      <x:c r="B40" s="10" t="str">
        <x:v>Samudera Shipping Line</x:v>
      </x:c>
      <x:c r="C40" s="10" t="str">
        <x:v>OUI</x:v>
      </x:c>
      <x:c r="D40" s="10" t="str">
        <x:v>NE</x:v>
      </x:c>
      <x:c r="E40" s="10" t="n">
        <x:f>COUNTIFS('Hiérarchie compagnies V5'!$A$2:$A$153,A40,'Hiérarchie compagnies V5'!$D$2:$D$153,"FILIALE / MARQUE / ENTITÉ")</x:f>
        <x:v>0</x:v>
      </x:c>
      <x:c r="F40" s="10" t="n">
        <x:f>COUNTIF('Navires hiérarchisés V5'!$A$2:$A$229,A40)</x:f>
        <x:v>0</x:v>
      </x:c>
      <x:c r="G40" s="10" t="str">
        <x:v>https://amudera.com</x:v>
      </x:c>
      <x:c r="H40" s="10" t="str">
        <x:v>C - Pas de filiale maritime distincte identifiée dans les sources utilisées</x:v>
      </x:c>
    </x:row>
    <x:row r="41">
      <x:c r="A41" s="10" t="str">
        <x:v>G040</x:v>
      </x:c>
      <x:c r="B41" s="10" t="str">
        <x:v>Tailwind Shipping Lines</x:v>
      </x:c>
      <x:c r="C41" s="10" t="str">
        <x:v>OUI</x:v>
      </x:c>
      <x:c r="D41" s="10" t="str">
        <x:v>EU-A</x:v>
      </x:c>
      <x:c r="E41" s="10" t="n">
        <x:f>COUNTIFS('Hiérarchie compagnies V5'!$A$2:$A$153,A41,'Hiérarchie compagnies V5'!$D$2:$D$153,"FILIALE / MARQUE / ENTITÉ")</x:f>
        <x:v>0</x:v>
      </x:c>
      <x:c r="F41" s="10" t="n">
        <x:f>COUNTIF('Navires hiérarchisés V5'!$A$2:$A$229,A41)</x:f>
        <x:v>0</x:v>
      </x:c>
      <x:c r="G41" s="10" t="str">
        <x:v>https://ailwind-shipping.com</x:v>
      </x:c>
      <x:c r="H41" s="10" t="str">
        <x:v>C - Pas de filiale maritime distincte identifiée dans les sources utilisées</x:v>
      </x:c>
    </x:row>
    <x:row r="42">
      <x:c r="A42" s="10" t="str">
        <x:v>G041</x:v>
      </x:c>
      <x:c r="B42" s="10" t="str">
        <x:v>Meratus Line</x:v>
      </x:c>
      <x:c r="C42" s="10" t="str">
        <x:v>OUI</x:v>
      </x:c>
      <x:c r="D42" s="10" t="str">
        <x:v>NE</x:v>
      </x:c>
      <x:c r="E42" s="10" t="n">
        <x:f>COUNTIFS('Hiérarchie compagnies V5'!$A$2:$A$153,A42,'Hiérarchie compagnies V5'!$D$2:$D$153,"FILIALE / MARQUE / ENTITÉ")</x:f>
        <x:v>0</x:v>
      </x:c>
      <x:c r="F42" s="10" t="n">
        <x:f>COUNTIF('Navires hiérarchisés V5'!$A$2:$A$229,A42)</x:f>
        <x:v>0</x:v>
      </x:c>
      <x:c r="G42" s="10" t="str">
        <x:v>https://meratusline.com</x:v>
      </x:c>
      <x:c r="H42" s="10" t="str">
        <x:v>C - Pas de filiale maritime distincte identifiée dans les sources utilisées</x:v>
      </x:c>
    </x:row>
    <x:row r="43">
      <x:c r="A43" s="10" t="str">
        <x:v>G042</x:v>
      </x:c>
      <x:c r="B43" s="10" t="str">
        <x:v>Namsung Shipping</x:v>
      </x:c>
      <x:c r="C43" s="10" t="str">
        <x:v>OUI</x:v>
      </x:c>
      <x:c r="D43" s="10" t="str">
        <x:v>NE</x:v>
      </x:c>
      <x:c r="E43" s="10" t="n">
        <x:f>COUNTIFS('Hiérarchie compagnies V5'!$A$2:$A$153,A43,'Hiérarchie compagnies V5'!$D$2:$D$153,"FILIALE / MARQUE / ENTITÉ")</x:f>
        <x:v>0</x:v>
      </x:c>
      <x:c r="F43" s="10" t="n">
        <x:f>COUNTIF('Navires hiérarchisés V5'!$A$2:$A$229,A43)</x:f>
        <x:v>0</x:v>
      </x:c>
      <x:c r="G43" s="10" t="str">
        <x:v>https://namsung.co.kr</x:v>
      </x:c>
      <x:c r="H43" s="10" t="str">
        <x:v>C - Pas de filiale maritime distincte identifiée dans les sources utilisées</x:v>
      </x:c>
    </x:row>
    <x:row r="44">
      <x:c r="A44" s="10" t="str">
        <x:v>G043</x:v>
      </x:c>
      <x:c r="B44" s="10" t="str">
        <x:v>Tanto Intim Line</x:v>
      </x:c>
      <x:c r="C44" s="10" t="str">
        <x:v>OUI</x:v>
      </x:c>
      <x:c r="D44" s="10" t="str">
        <x:v>NE</x:v>
      </x:c>
      <x:c r="E44" s="10" t="n">
        <x:f>COUNTIFS('Hiérarchie compagnies V5'!$A$2:$A$153,A44,'Hiérarchie compagnies V5'!$D$2:$D$153,"FILIALE / MARQUE / ENTITÉ")</x:f>
        <x:v>0</x:v>
      </x:c>
      <x:c r="F44" s="10" t="n">
        <x:f>COUNTIF('Navires hiérarchisés V5'!$A$2:$A$229,A44)</x:f>
        <x:v>0</x:v>
      </x:c>
      <x:c r="G44" s="10" t="str">
        <x:v>https://antonet.com</x:v>
      </x:c>
      <x:c r="H44" s="10" t="str">
        <x:v>C - Pas de filiale maritime distincte identifiée dans les sources utilisées</x:v>
      </x:c>
    </x:row>
    <x:row r="45">
      <x:c r="A45" s="10" t="str">
        <x:v>G044</x:v>
      </x:c>
      <x:c r="B45" s="10" t="str">
        <x:v>Salam Pacific Indonesia Lines (SPIL)</x:v>
      </x:c>
      <x:c r="C45" s="10" t="str">
        <x:v>OUI</x:v>
      </x:c>
      <x:c r="D45" s="10" t="str">
        <x:v>NE</x:v>
      </x:c>
      <x:c r="E45" s="10" t="n">
        <x:f>COUNTIFS('Hiérarchie compagnies V5'!$A$2:$A$153,A45,'Hiérarchie compagnies V5'!$D$2:$D$153,"FILIALE / MARQUE / ENTITÉ")</x:f>
        <x:v>0</x:v>
      </x:c>
      <x:c r="F45" s="10" t="n">
        <x:f>COUNTIF('Navires hiérarchisés V5'!$A$2:$A$229,A45)</x:f>
        <x:v>0</x:v>
      </x:c>
      <x:c r="G45" s="10" t="str">
        <x:v>https://il.co.id</x:v>
      </x:c>
      <x:c r="H45" s="10" t="str">
        <x:v>C - Pas de filiale maritime distincte identifiée dans les sources utilisées</x:v>
      </x:c>
    </x:row>
    <x:row r="46">
      <x:c r="A46" s="10" t="str">
        <x:v>G045</x:v>
      </x:c>
      <x:c r="B46" s="10" t="str">
        <x:v>Great White Fleet (Chiquita)</x:v>
      </x:c>
      <x:c r="C46" s="10" t="str">
        <x:v>OUI</x:v>
      </x:c>
      <x:c r="D46" s="10" t="str">
        <x:v>EU-A</x:v>
      </x:c>
      <x:c r="E46" s="10" t="n">
        <x:f>COUNTIFS('Hiérarchie compagnies V5'!$A$2:$A$153,A46,'Hiérarchie compagnies V5'!$D$2:$D$153,"FILIALE / MARQUE / ENTITÉ")</x:f>
        <x:v>0</x:v>
      </x:c>
      <x:c r="F46" s="10" t="n">
        <x:f>COUNTIF('Navires hiérarchisés V5'!$A$2:$A$229,A46)</x:f>
        <x:v>0</x:v>
      </x:c>
      <x:c r="G46" s="10" t="str">
        <x:v>https://greatwhitefleet.com</x:v>
      </x:c>
      <x:c r="H46" s="10" t="str">
        <x:v>C - Pas de filiale maritime distincte identifiée dans les sources utilisées</x:v>
      </x:c>
    </x:row>
    <x:row r="47">
      <x:c r="A47" s="10" t="str">
        <x:v>G046</x:v>
      </x:c>
      <x:c r="B47" s="10" t="str">
        <x:v>Ignazio Messina / Linea Messina</x:v>
      </x:c>
      <x:c r="C47" s="10" t="str">
        <x:v>OUI</x:v>
      </x:c>
      <x:c r="D47" s="10" t="str">
        <x:v>EU-A</x:v>
      </x:c>
      <x:c r="E47" s="10" t="n">
        <x:f>COUNTIFS('Hiérarchie compagnies V5'!$A$2:$A$153,A47,'Hiérarchie compagnies V5'!$D$2:$D$153,"FILIALE / MARQUE / ENTITÉ")</x:f>
        <x:v>0</x:v>
      </x:c>
      <x:c r="F47" s="10" t="n">
        <x:f>COUNTIF('Navires hiérarchisés V5'!$A$2:$A$229,A47)</x:f>
        <x:v>0</x:v>
      </x:c>
      <x:c r="G47" s="10" t="str">
        <x:v>https://messinaline.it</x:v>
      </x:c>
      <x:c r="H47" s="10" t="str">
        <x:v>C - Pas de filiale maritime distincte identifiée dans les sources utilisées</x:v>
      </x:c>
    </x:row>
    <x:row r="48">
      <x:c r="A48" s="10" t="str">
        <x:v>G047</x:v>
      </x:c>
      <x:c r="B48" s="10" t="str">
        <x:v>Hainan Yangpu NewNew Shipping</x:v>
      </x:c>
      <x:c r="C48" s="10" t="str">
        <x:v>OUI</x:v>
      </x:c>
      <x:c r="D48" s="10" t="str">
        <x:v>EU-B</x:v>
      </x:c>
      <x:c r="E48" s="10" t="n">
        <x:f>COUNTIFS('Hiérarchie compagnies V5'!$A$2:$A$153,A48,'Hiérarchie compagnies V5'!$D$2:$D$153,"FILIALE / MARQUE / ENTITÉ")</x:f>
        <x:v>0</x:v>
      </x:c>
      <x:c r="F48" s="10" t="n">
        <x:f>COUNTIF('Navires hiérarchisés V5'!$A$2:$A$229,A48)</x:f>
        <x:v>0</x:v>
      </x:c>
      <x:c r="G48" s="10" t="str">
        <x:v>https://newnewshipping.com</x:v>
      </x:c>
      <x:c r="H48" s="10" t="str">
        <x:v>C - Pas de filiale maritime distincte identifiée dans les sources utilisées</x:v>
      </x:c>
    </x:row>
    <x:row r="49">
      <x:c r="A49" s="10" t="str">
        <x:v>G048</x:v>
      </x:c>
      <x:c r="B49" s="10" t="str">
        <x:v>Dole Ocean Cargo Express</x:v>
      </x:c>
      <x:c r="C49" s="10" t="str">
        <x:v>OUI</x:v>
      </x:c>
      <x:c r="D49" s="10" t="str">
        <x:v>EU-A</x:v>
      </x:c>
      <x:c r="E49" s="10" t="n">
        <x:f>COUNTIFS('Hiérarchie compagnies V5'!$A$2:$A$153,A49,'Hiérarchie compagnies V5'!$D$2:$D$153,"FILIALE / MARQUE / ENTITÉ")</x:f>
        <x:v>0</x:v>
      </x:c>
      <x:c r="F49" s="10" t="n">
        <x:f>COUNTIF('Navires hiérarchisés V5'!$A$2:$A$229,A49)</x:f>
        <x:v>0</x:v>
      </x:c>
      <x:c r="G49" s="10" t="str">
        <x:v>https://dole.com</x:v>
      </x:c>
      <x:c r="H49" s="10" t="str">
        <x:v>C - Pas de filiale maritime distincte identifiée dans les sources utilisées</x:v>
      </x:c>
    </x:row>
    <x:row r="50">
      <x:c r="A50" s="10" t="str">
        <x:v>G049</x:v>
      </x:c>
      <x:c r="B50" s="10" t="str">
        <x:v>CK Line (Chun Kyung)</x:v>
      </x:c>
      <x:c r="C50" s="10" t="str">
        <x:v>OUI</x:v>
      </x:c>
      <x:c r="D50" s="10" t="str">
        <x:v>NE</x:v>
      </x:c>
      <x:c r="E50" s="10" t="n">
        <x:f>COUNTIFS('Hiérarchie compagnies V5'!$A$2:$A$153,A50,'Hiérarchie compagnies V5'!$D$2:$D$153,"FILIALE / MARQUE / ENTITÉ")</x:f>
        <x:v>0</x:v>
      </x:c>
      <x:c r="F50" s="10" t="n">
        <x:f>COUNTIF('Navires hiérarchisés V5'!$A$2:$A$229,A50)</x:f>
        <x:v>0</x:v>
      </x:c>
      <x:c r="G50" s="10" t="str">
        <x:v>https://ckline.co.kr</x:v>
      </x:c>
      <x:c r="H50" s="10" t="str">
        <x:v>C - Pas de filiale maritime distincte identifiée dans les sources utilisées</x:v>
      </x:c>
    </x:row>
    <x:row r="51">
      <x:c r="A51" s="10" t="str">
        <x:v>G050</x:v>
      </x:c>
      <x:c r="B51" s="10" t="str">
        <x:v>Sea Legend Shipping</x:v>
      </x:c>
      <x:c r="C51" s="10" t="str">
        <x:v>OUI</x:v>
      </x:c>
      <x:c r="D51" s="10" t="str">
        <x:v>EU-B</x:v>
      </x:c>
      <x:c r="E51" s="10" t="n">
        <x:f>COUNTIFS('Hiérarchie compagnies V5'!$A$2:$A$153,A51,'Hiérarchie compagnies V5'!$D$2:$D$153,"FILIALE / MARQUE / ENTITÉ")</x:f>
        <x:v>0</x:v>
      </x:c>
      <x:c r="F51" s="10" t="n">
        <x:f>COUNTIF('Navires hiérarchisés V5'!$A$2:$A$229,A51)</x:f>
        <x:v>0</x:v>
      </x:c>
      <x:c r="G51" s="10" t="str">
        <x:v>https://lg-shipping.com</x:v>
      </x:c>
      <x:c r="H51" s="10" t="str">
        <x:v>C - Pas de filiale maritime distincte identifiée dans les sources utilisées</x:v>
      </x:c>
    </x:row>
    <x:row r="52">
      <x:c r="A52" s="10" t="str">
        <x:v>G051</x:v>
      </x:c>
      <x:c r="B52" s="10" t="str">
        <x:v>Crowley Maritime / Crowley Logistics</x:v>
      </x:c>
      <x:c r="C52" s="10" t="str">
        <x:v>OUI</x:v>
      </x:c>
      <x:c r="D52" s="10" t="str">
        <x:v>NE</x:v>
      </x:c>
      <x:c r="E52" s="10" t="n">
        <x:f>COUNTIFS('Hiérarchie compagnies V5'!$A$2:$A$153,A52,'Hiérarchie compagnies V5'!$D$2:$D$153,"FILIALE / MARQUE / ENTITÉ")</x:f>
        <x:v>0</x:v>
      </x:c>
      <x:c r="F52" s="10" t="n">
        <x:f>COUNTIF('Navires hiérarchisés V5'!$A$2:$A$229,A52)</x:f>
        <x:v>0</x:v>
      </x:c>
      <x:c r="G52" s="10" t="str">
        <x:v>https://crowley.com</x:v>
      </x:c>
      <x:c r="H52" s="10" t="str">
        <x:v>C - Pas de filiale maritime distincte identifiée dans les sources utilisées</x:v>
      </x:c>
    </x:row>
    <x:row r="53">
      <x:c r="A53" s="10" t="str">
        <x:v>G052</x:v>
      </x:c>
      <x:c r="B53" s="10" t="str">
        <x:v>Eimskip</x:v>
      </x:c>
      <x:c r="C53" s="10" t="str">
        <x:v>OUI</x:v>
      </x:c>
      <x:c r="D53" s="10" t="str">
        <x:v>EU-A</x:v>
      </x:c>
      <x:c r="E53" s="10" t="n">
        <x:f>COUNTIFS('Hiérarchie compagnies V5'!$A$2:$A$153,A53,'Hiérarchie compagnies V5'!$D$2:$D$153,"FILIALE / MARQUE / ENTITÉ")</x:f>
        <x:v>0</x:v>
      </x:c>
      <x:c r="F53" s="10" t="n">
        <x:f>COUNTIF('Navires hiérarchisés V5'!$A$2:$A$229,A53)</x:f>
        <x:v>0</x:v>
      </x:c>
      <x:c r="G53" s="10" t="str">
        <x:v>https://eimskip.com</x:v>
      </x:c>
      <x:c r="H53" s="10" t="str">
        <x:v>C - Pas de filiale maritime distincte identifiée dans les sources utilisées</x:v>
      </x:c>
    </x:row>
    <x:row r="54">
      <x:c r="A54" s="10" t="str">
        <x:v>G053</x:v>
      </x:c>
      <x:c r="B54" s="10" t="str">
        <x:v>Independent Container Line (ICL)</x:v>
      </x:c>
      <x:c r="C54" s="10" t="str">
        <x:v>OUI</x:v>
      </x:c>
      <x:c r="D54" s="10" t="str">
        <x:v>EU-A</x:v>
      </x:c>
      <x:c r="E54" s="10" t="n">
        <x:f>COUNTIFS('Hiérarchie compagnies V5'!$A$2:$A$153,A54,'Hiérarchie compagnies V5'!$D$2:$D$153,"FILIALE / MARQUE / ENTITÉ")</x:f>
        <x:v>0</x:v>
      </x:c>
      <x:c r="F54" s="10" t="n">
        <x:f>COUNTIF('Navires hiérarchisés V5'!$A$2:$A$229,A54)</x:f>
        <x:v>0</x:v>
      </x:c>
      <x:c r="G54" s="10" t="str">
        <x:v>https://icl-ltd.com</x:v>
      </x:c>
      <x:c r="H54" s="10" t="str">
        <x:v>C - Pas de filiale maritime distincte identifiée dans les sources utilisées</x:v>
      </x:c>
    </x:row>
    <x:row r="55">
      <x:c r="A55" s="10" t="str">
        <x:v>G054</x:v>
      </x:c>
      <x:c r="B55" s="10" t="str">
        <x:v>King Ocean Services</x:v>
      </x:c>
      <x:c r="C55" s="10" t="str">
        <x:v>OUI</x:v>
      </x:c>
      <x:c r="D55" s="10" t="str">
        <x:v>NE</x:v>
      </x:c>
      <x:c r="E55" s="10" t="n">
        <x:f>COUNTIFS('Hiérarchie compagnies V5'!$A$2:$A$153,A55,'Hiérarchie compagnies V5'!$D$2:$D$153,"FILIALE / MARQUE / ENTITÉ")</x:f>
        <x:v>0</x:v>
      </x:c>
      <x:c r="F55" s="10" t="n">
        <x:f>COUNTIF('Navires hiérarchisés V5'!$A$2:$A$229,A55)</x:f>
        <x:v>0</x:v>
      </x:c>
      <x:c r="G55" s="10" t="str">
        <x:v>https://kingocean.com</x:v>
      </x:c>
      <x:c r="H55" s="10" t="str">
        <x:v>C - Pas de filiale maritime distincte identifiée dans les sources utilisées</x:v>
      </x:c>
    </x:row>
    <x:row r="56">
      <x:c r="A56" s="10" t="str">
        <x:v>G055</x:v>
      </x:c>
      <x:c r="B56" s="10" t="str">
        <x:v>Linea Peninsular</x:v>
      </x:c>
      <x:c r="C56" s="10" t="str">
        <x:v>OUI</x:v>
      </x:c>
      <x:c r="D56" s="10" t="str">
        <x:v>NE</x:v>
      </x:c>
      <x:c r="E56" s="10" t="n">
        <x:f>COUNTIFS('Hiérarchie compagnies V5'!$A$2:$A$153,A56,'Hiérarchie compagnies V5'!$D$2:$D$153,"FILIALE / MARQUE / ENTITÉ")</x:f>
        <x:v>0</x:v>
      </x:c>
      <x:c r="F56" s="10" t="n">
        <x:f>COUNTIF('Navires hiérarchisés V5'!$A$2:$A$229,A56)</x:f>
        <x:v>0</x:v>
      </x:c>
      <x:c r="G56" s="10" t="str">
        <x:v>https://lineapeninsular.com</x:v>
      </x:c>
      <x:c r="H56" s="10" t="str">
        <x:v>C - Pas de filiale maritime distincte identifiée dans les sources utilisées</x:v>
      </x:c>
    </x:row>
    <x:row r="57">
      <x:c r="A57" s="10" t="str">
        <x:v>G056</x:v>
      </x:c>
      <x:c r="B57" s="10" t="str">
        <x:v>Network Shipping</x:v>
      </x:c>
      <x:c r="C57" s="10" t="str">
        <x:v>OUI</x:v>
      </x:c>
      <x:c r="D57" s="10" t="str">
        <x:v>NE</x:v>
      </x:c>
      <x:c r="E57" s="10" t="n">
        <x:f>COUNTIFS('Hiérarchie compagnies V5'!$A$2:$A$153,A57,'Hiérarchie compagnies V5'!$D$2:$D$153,"FILIALE / MARQUE / ENTITÉ")</x:f>
        <x:v>0</x:v>
      </x:c>
      <x:c r="F57" s="10" t="n">
        <x:f>COUNTIF('Navires hiérarchisés V5'!$A$2:$A$229,A57)</x:f>
        <x:v>0</x:v>
      </x:c>
      <x:c r="G57" s="10" t="str">
        <x:v>https://networkshipping.com</x:v>
      </x:c>
      <x:c r="H57" s="10" t="str">
        <x:v>C - Pas de filiale maritime distincte identifiée dans les sources utilisées</x:v>
      </x:c>
    </x:row>
    <x:row r="58">
      <x:c r="A58" s="10" t="str">
        <x:v>G057</x:v>
      </x:c>
      <x:c r="B58" s="10" t="str">
        <x:v>SEACOR Island Lines</x:v>
      </x:c>
      <x:c r="C58" s="10" t="str">
        <x:v>OUI</x:v>
      </x:c>
      <x:c r="D58" s="10" t="str">
        <x:v>NE</x:v>
      </x:c>
      <x:c r="E58" s="10" t="n">
        <x:f>COUNTIFS('Hiérarchie compagnies V5'!$A$2:$A$153,A58,'Hiérarchie compagnies V5'!$D$2:$D$153,"FILIALE / MARQUE / ENTITÉ")</x:f>
        <x:v>0</x:v>
      </x:c>
      <x:c r="F58" s="10" t="n">
        <x:f>COUNTIF('Navires hiérarchisés V5'!$A$2:$A$229,A58)</x:f>
        <x:v>0</x:v>
      </x:c>
      <x:c r="G58" s="10" t="str">
        <x:v>https://eacorislandlines.com</x:v>
      </x:c>
      <x:c r="H58" s="10" t="str">
        <x:v>C - Pas de filiale maritime distincte identifiée dans les sources utilisées</x:v>
      </x:c>
    </x:row>
    <x:row r="59">
      <x:c r="A59" s="10" t="str">
        <x:v>G058</x:v>
      </x:c>
      <x:c r="B59" s="10" t="str">
        <x:v>Tropical Shipping</x:v>
      </x:c>
      <x:c r="C59" s="10" t="str">
        <x:v>OUI</x:v>
      </x:c>
      <x:c r="D59" s="10" t="str">
        <x:v>NE</x:v>
      </x:c>
      <x:c r="E59" s="10" t="n">
        <x:f>COUNTIFS('Hiérarchie compagnies V5'!$A$2:$A$153,A59,'Hiérarchie compagnies V5'!$D$2:$D$153,"FILIALE / MARQUE / ENTITÉ")</x:f>
        <x:v>0</x:v>
      </x:c>
      <x:c r="F59" s="10" t="n">
        <x:f>COUNTIF('Navires hiérarchisés V5'!$A$2:$A$229,A59)</x:f>
        <x:v>0</x:v>
      </x:c>
      <x:c r="G59" s="10" t="str">
        <x:v>https://ropical.com</x:v>
      </x:c>
      <x:c r="H59" s="10" t="str">
        <x:v>C - Pas de filiale maritime distincte identifiée dans les sources utilisées</x:v>
      </x:c>
    </x:row>
    <x:row r="60">
      <x:c r="A60" s="10" t="str">
        <x:v>G059</x:v>
      </x:c>
      <x:c r="B60" s="10" t="str">
        <x:v>Turkon Line</x:v>
      </x:c>
      <x:c r="C60" s="10" t="str">
        <x:v>OUI</x:v>
      </x:c>
      <x:c r="D60" s="10" t="str">
        <x:v>EU-A</x:v>
      </x:c>
      <x:c r="E60" s="10" t="n">
        <x:f>COUNTIFS('Hiérarchie compagnies V5'!$A$2:$A$153,A60,'Hiérarchie compagnies V5'!$D$2:$D$153,"FILIALE / MARQUE / ENTITÉ")</x:f>
        <x:v>0</x:v>
      </x:c>
      <x:c r="F60" s="10" t="n">
        <x:f>COUNTIF('Navires hiérarchisés V5'!$A$2:$A$229,A60)</x:f>
        <x:v>0</x:v>
      </x:c>
      <x:c r="G60" s="10" t="str">
        <x:v>https://urkon.com</x:v>
      </x:c>
      <x:c r="H60" s="10" t="str">
        <x:v>C - Pas de filiale maritime distincte identifiée dans les sources utilisées</x:v>
      </x:c>
    </x:row>
    <x:row r="61">
      <x:c r="A61" s="10" t="str">
        <x:v>G060</x:v>
      </x:c>
      <x:c r="B61" s="10" t="str">
        <x:v>World Direct Shipping</x:v>
      </x:c>
      <x:c r="C61" s="10" t="str">
        <x:v>OUI</x:v>
      </x:c>
      <x:c r="D61" s="10" t="str">
        <x:v>NE</x:v>
      </x:c>
      <x:c r="E61" s="10" t="n">
        <x:f>COUNTIFS('Hiérarchie compagnies V5'!$A$2:$A$153,A61,'Hiérarchie compagnies V5'!$D$2:$D$153,"FILIALE / MARQUE / ENTITÉ")</x:f>
        <x:v>0</x:v>
      </x:c>
      <x:c r="F61" s="10" t="n">
        <x:f>COUNTIF('Navires hiérarchisés V5'!$A$2:$A$229,A61)</x:f>
        <x:v>0</x:v>
      </x:c>
      <x:c r="G61" s="10" t="str">
        <x:v>https://worlddirectshipping.com</x:v>
      </x:c>
      <x:c r="H61" s="10" t="str">
        <x:v>C - Pas de filiale maritime distincte identifiée dans les sources utilisées</x:v>
      </x:c>
    </x:row>
    <x:row r="62">
      <x:c r="A62" s="10" t="str">
        <x:v>G061</x:v>
      </x:c>
      <x:c r="B62" s="10" t="str">
        <x:v>Pasha Hawaii</x:v>
      </x:c>
      <x:c r="C62" s="10" t="str">
        <x:v>OUI</x:v>
      </x:c>
      <x:c r="D62" s="10" t="str">
        <x:v>NE</x:v>
      </x:c>
      <x:c r="E62" s="10" t="n">
        <x:f>COUNTIFS('Hiérarchie compagnies V5'!$A$2:$A$153,A62,'Hiérarchie compagnies V5'!$D$2:$D$153,"FILIALE / MARQUE / ENTITÉ")</x:f>
        <x:v>0</x:v>
      </x:c>
      <x:c r="F62" s="10" t="n">
        <x:f>COUNTIF('Navires hiérarchisés V5'!$A$2:$A$229,A62)</x:f>
        <x:v>0</x:v>
      </x:c>
      <x:c r="G62" s="10" t="str">
        <x:v>https://ashahawaii.com</x:v>
      </x:c>
      <x:c r="H62" s="10" t="str">
        <x:v>C - Pas de filiale maritime distincte identifiée dans les sources utilisées</x:v>
      </x:c>
    </x:row>
    <x:row r="63">
      <x:c r="A63" s="10" t="str">
        <x:v>G062</x:v>
      </x:c>
      <x:c r="B63" s="10" t="str">
        <x:v>TOTE Maritime</x:v>
      </x:c>
      <x:c r="C63" s="10" t="str">
        <x:v>OUI</x:v>
      </x:c>
      <x:c r="D63" s="10" t="str">
        <x:v>NE</x:v>
      </x:c>
      <x:c r="E63" s="10" t="n">
        <x:f>COUNTIFS('Hiérarchie compagnies V5'!$A$2:$A$153,A63,'Hiérarchie compagnies V5'!$D$2:$D$153,"FILIALE / MARQUE / ENTITÉ")</x:f>
        <x:v>0</x:v>
      </x:c>
      <x:c r="F63" s="10" t="n">
        <x:f>COUNTIF('Navires hiérarchisés V5'!$A$2:$A$229,A63)</x:f>
        <x:v>0</x:v>
      </x:c>
      <x:c r="G63" s="10" t="str">
        <x:v>https://otemaritime.com</x:v>
      </x:c>
      <x:c r="H63" s="10" t="str">
        <x:v>C - Pas de filiale maritime distincte identifiée dans les sources utilisées</x:v>
      </x:c>
    </x:row>
    <x:row r="64">
      <x:c r="A64" s="10" t="str">
        <x:v>G063</x:v>
      </x:c>
      <x:c r="B64" s="10" t="str">
        <x:v>Royal Arctic Line</x:v>
      </x:c>
      <x:c r="C64" s="10" t="str">
        <x:v>OUI</x:v>
      </x:c>
      <x:c r="D64" s="10" t="str">
        <x:v>EU-A</x:v>
      </x:c>
      <x:c r="E64" s="10" t="n">
        <x:f>COUNTIFS('Hiérarchie compagnies V5'!$A$2:$A$153,A64,'Hiérarchie compagnies V5'!$D$2:$D$153,"FILIALE / MARQUE / ENTITÉ")</x:f>
        <x:v>0</x:v>
      </x:c>
      <x:c r="F64" s="10" t="n">
        <x:f>COUNTIF('Navires hiérarchisés V5'!$A$2:$A$229,A64)</x:f>
        <x:v>0</x:v>
      </x:c>
      <x:c r="G64" s="10" t="str">
        <x:v>https://ral.gl</x:v>
      </x:c>
      <x:c r="H64" s="10" t="str">
        <x:v>C - Pas de filiale maritime distincte identifiée dans les sources utilisées</x:v>
      </x:c>
    </x:row>
    <x:row r="65">
      <x:c r="A65" s="10" t="str">
        <x:v>G064</x:v>
      </x:c>
      <x:c r="B65" s="10" t="str">
        <x:v>Marfret</x:v>
      </x:c>
      <x:c r="C65" s="10" t="str">
        <x:v>OUI</x:v>
      </x:c>
      <x:c r="D65" s="10" t="str">
        <x:v>EU-A</x:v>
      </x:c>
      <x:c r="E65" s="10" t="n">
        <x:f>COUNTIFS('Hiérarchie compagnies V5'!$A$2:$A$153,A65,'Hiérarchie compagnies V5'!$D$2:$D$153,"FILIALE / MARQUE / ENTITÉ")</x:f>
        <x:v>0</x:v>
      </x:c>
      <x:c r="F65" s="10" t="n">
        <x:f>COUNTIF('Navires hiérarchisés V5'!$A$2:$A$229,A65)</x:f>
        <x:v>1</x:v>
      </x:c>
      <x:c r="G65" s="10" t="str">
        <x:v>https://marfret.com</x:v>
      </x:c>
      <x:c r="H65" s="10" t="str">
        <x:v>C - Pas de filiale maritime distincte identifiée dans les sources utilisées</x:v>
      </x:c>
    </x:row>
    <x:row r="66">
      <x:c r="A66" s="10" t="str">
        <x:v>G065</x:v>
      </x:c>
      <x:c r="B66" s="10" t="str">
        <x:v>Tarros</x:v>
      </x:c>
      <x:c r="C66" s="10" t="str">
        <x:v>OUI</x:v>
      </x:c>
      <x:c r="D66" s="10" t="str">
        <x:v>EU-A</x:v>
      </x:c>
      <x:c r="E66" s="10" t="n">
        <x:f>COUNTIFS('Hiérarchie compagnies V5'!$A$2:$A$153,A66,'Hiérarchie compagnies V5'!$D$2:$D$153,"FILIALE / MARQUE / ENTITÉ")</x:f>
        <x:v>0</x:v>
      </x:c>
      <x:c r="F66" s="10" t="n">
        <x:f>COUNTIF('Navires hiérarchisés V5'!$A$2:$A$229,A66)</x:f>
        <x:v>0</x:v>
      </x:c>
      <x:c r="G66" s="10" t="str">
        <x:v>https://arros.it</x:v>
      </x:c>
      <x:c r="H66" s="10" t="str">
        <x:v>C - Pas de filiale maritime distincte identifiée dans les sources utilisées</x:v>
      </x:c>
    </x:row>
    <x:row r="67">
      <x:c r="A67" s="10" t="str">
        <x:v>G066</x:v>
      </x:c>
      <x:c r="B67" s="10" t="str">
        <x:v>Medkon Lines</x:v>
      </x:c>
      <x:c r="C67" s="10" t="str">
        <x:v>OUI</x:v>
      </x:c>
      <x:c r="D67" s="10" t="str">
        <x:v>EU-A</x:v>
      </x:c>
      <x:c r="E67" s="10" t="n">
        <x:f>COUNTIFS('Hiérarchie compagnies V5'!$A$2:$A$153,A67,'Hiérarchie compagnies V5'!$D$2:$D$153,"FILIALE / MARQUE / ENTITÉ")</x:f>
        <x:v>0</x:v>
      </x:c>
      <x:c r="F67" s="10" t="n">
        <x:f>COUNTIF('Navires hiérarchisés V5'!$A$2:$A$229,A67)</x:f>
        <x:v>0</x:v>
      </x:c>
      <x:c r="G67" s="10" t="str">
        <x:v>https://medkonlines.com</x:v>
      </x:c>
      <x:c r="H67" s="10" t="str">
        <x:v>C - Pas de filiale maritime distincte identifiée dans les sources utilisées</x:v>
      </x:c>
    </x:row>
    <x:row r="68">
      <x:c r="A68" s="10" t="str">
        <x:v>G067</x:v>
      </x:c>
      <x:c r="B68" s="10" t="str">
        <x:v>Borchard Lines</x:v>
      </x:c>
      <x:c r="C68" s="10" t="str">
        <x:v>OUI</x:v>
      </x:c>
      <x:c r="D68" s="10" t="str">
        <x:v>EU-A</x:v>
      </x:c>
      <x:c r="E68" s="10" t="n">
        <x:f>COUNTIFS('Hiérarchie compagnies V5'!$A$2:$A$153,A68,'Hiérarchie compagnies V5'!$D$2:$D$153,"FILIALE / MARQUE / ENTITÉ")</x:f>
        <x:v>0</x:v>
      </x:c>
      <x:c r="F68" s="10" t="n">
        <x:f>COUNTIF('Navires hiérarchisés V5'!$A$2:$A$229,A68)</x:f>
        <x:v>0</x:v>
      </x:c>
      <x:c r="G68" s="10" t="str">
        <x:v>https://borchardlines.com</x:v>
      </x:c>
      <x:c r="H68" s="10" t="str">
        <x:v>C - Pas de filiale maritime distincte identifiée dans les sources utilisées</x:v>
      </x:c>
    </x:row>
    <x:row r="69">
      <x:c r="A69" s="10" t="str">
        <x:v>G068</x:v>
      </x:c>
      <x:c r="B69" s="10" t="str">
        <x:v>Boluda Shipping</x:v>
      </x:c>
      <x:c r="C69" s="10" t="str">
        <x:v>OUI</x:v>
      </x:c>
      <x:c r="D69" s="10" t="str">
        <x:v>EU-A</x:v>
      </x:c>
      <x:c r="E69" s="10" t="n">
        <x:f>COUNTIFS('Hiérarchie compagnies V5'!$A$2:$A$153,A69,'Hiérarchie compagnies V5'!$D$2:$D$153,"FILIALE / MARQUE / ENTITÉ")</x:f>
        <x:v>0</x:v>
      </x:c>
      <x:c r="F69" s="10" t="n">
        <x:f>COUNTIF('Navires hiérarchisés V5'!$A$2:$A$229,A69)</x:f>
        <x:v>0</x:v>
      </x:c>
      <x:c r="G69" s="10" t="str">
        <x:v>https://boluda.com</x:v>
      </x:c>
      <x:c r="H69" s="10" t="str">
        <x:v>C - Pas de filiale maritime distincte identifiée dans les sources utilisées</x:v>
      </x:c>
    </x:row>
    <x:row r="70">
      <x:c r="A70" s="10" t="str">
        <x:v>G069</x:v>
      </x:c>
      <x:c r="B70" s="10" t="str">
        <x:v>Geest Line</x:v>
      </x:c>
      <x:c r="C70" s="10" t="str">
        <x:v>OUI</x:v>
      </x:c>
      <x:c r="D70" s="10" t="str">
        <x:v>EU-A</x:v>
      </x:c>
      <x:c r="E70" s="10" t="n">
        <x:f>COUNTIFS('Hiérarchie compagnies V5'!$A$2:$A$153,A70,'Hiérarchie compagnies V5'!$D$2:$D$153,"FILIALE / MARQUE / ENTITÉ")</x:f>
        <x:v>0</x:v>
      </x:c>
      <x:c r="F70" s="10" t="n">
        <x:f>COUNTIF('Navires hiérarchisés V5'!$A$2:$A$229,A70)</x:f>
        <x:v>0</x:v>
      </x:c>
      <x:c r="G70" s="10" t="str">
        <x:v>https://geestline.com</x:v>
      </x:c>
      <x:c r="H70" s="10" t="str">
        <x:v>C - Pas de filiale maritime distincte identifiée dans les sources utilisées</x:v>
      </x:c>
    </x:row>
    <x:row r="71">
      <x:c r="A71" s="10" t="str">
        <x:v>G070</x:v>
      </x:c>
      <x:c r="B71" s="10" t="str">
        <x:v>Nirint Shipping</x:v>
      </x:c>
      <x:c r="C71" s="10" t="str">
        <x:v>OUI</x:v>
      </x:c>
      <x:c r="D71" s="10" t="str">
        <x:v>EU-A</x:v>
      </x:c>
      <x:c r="E71" s="10" t="n">
        <x:f>COUNTIFS('Hiérarchie compagnies V5'!$A$2:$A$153,A71,'Hiérarchie compagnies V5'!$D$2:$D$153,"FILIALE / MARQUE / ENTITÉ")</x:f>
        <x:v>0</x:v>
      </x:c>
      <x:c r="F71" s="10" t="n">
        <x:f>COUNTIF('Navires hiérarchisés V5'!$A$2:$A$229,A71)</x:f>
        <x:v>0</x:v>
      </x:c>
      <x:c r="G71" s="10" t="str">
        <x:v>https://nirint.com</x:v>
      </x:c>
      <x:c r="H71" s="10" t="str">
        <x:v>C - Pas de filiale maritime distincte identifiée dans les sources utilisées</x:v>
      </x:c>
    </x:row>
    <x:row r="72">
      <x:c r="A72" s="10" t="str">
        <x:v>G071</x:v>
      </x:c>
      <x:c r="B72" s="10" t="str">
        <x:v>Kambara Kisen</x:v>
      </x:c>
      <x:c r="C72" s="10" t="str">
        <x:v>OUI</x:v>
      </x:c>
      <x:c r="D72" s="10" t="str">
        <x:v>NE</x:v>
      </x:c>
      <x:c r="E72" s="10" t="n">
        <x:f>COUNTIFS('Hiérarchie compagnies V5'!$A$2:$A$153,A72,'Hiérarchie compagnies V5'!$D$2:$D$153,"FILIALE / MARQUE / ENTITÉ")</x:f>
        <x:v>0</x:v>
      </x:c>
      <x:c r="F72" s="10" t="n">
        <x:f>COUNTIF('Navires hiérarchisés V5'!$A$2:$A$229,A72)</x:f>
        <x:v>0</x:v>
      </x:c>
      <x:c r="G72" s="10" t="str">
        <x:v>https://kambara-kisen.co.jp</x:v>
      </x:c>
      <x:c r="H72" s="10" t="str">
        <x:v>C - Pas de filiale maritime distincte identifiée dans les sources utilisées</x:v>
      </x:c>
    </x:row>
    <x:row r="73">
      <x:c r="A73" s="10" t="str">
        <x:v>G072</x:v>
      </x:c>
      <x:c r="B73" s="10" t="str">
        <x:v>Pan Continental Shipping (PanCon)</x:v>
      </x:c>
      <x:c r="C73" s="10" t="str">
        <x:v>OUI</x:v>
      </x:c>
      <x:c r="D73" s="10" t="str">
        <x:v>NE</x:v>
      </x:c>
      <x:c r="E73" s="10" t="n">
        <x:f>COUNTIFS('Hiérarchie compagnies V5'!$A$2:$A$153,A73,'Hiérarchie compagnies V5'!$D$2:$D$153,"FILIALE / MARQUE / ENTITÉ")</x:f>
        <x:v>0</x:v>
      </x:c>
      <x:c r="F73" s="10" t="n">
        <x:f>COUNTIF('Navires hiérarchisés V5'!$A$2:$A$229,A73)</x:f>
        <x:v>0</x:v>
      </x:c>
      <x:c r="G73" s="10" t="str">
        <x:v>https://ancon.co.kr</x:v>
      </x:c>
      <x:c r="H73" s="10" t="str">
        <x:v>C - Pas de filiale maritime distincte identifiée dans les sources utilisées</x:v>
      </x:c>
    </x:row>
    <x:row r="74">
      <x:c r="A74" s="10" t="str">
        <x:v>G073</x:v>
      </x:c>
      <x:c r="B74" s="10" t="str">
        <x:v>Dongjin Shipping</x:v>
      </x:c>
      <x:c r="C74" s="10" t="str">
        <x:v>OUI</x:v>
      </x:c>
      <x:c r="D74" s="10" t="str">
        <x:v>NE</x:v>
      </x:c>
      <x:c r="E74" s="10" t="n">
        <x:f>COUNTIFS('Hiérarchie compagnies V5'!$A$2:$A$153,A74,'Hiérarchie compagnies V5'!$D$2:$D$153,"FILIALE / MARQUE / ENTITÉ")</x:f>
        <x:v>0</x:v>
      </x:c>
      <x:c r="F74" s="10" t="n">
        <x:f>COUNTIF('Navires hiérarchisés V5'!$A$2:$A$229,A74)</x:f>
        <x:v>0</x:v>
      </x:c>
      <x:c r="G74" s="10" t="str">
        <x:v>https://djship.co.kr</x:v>
      </x:c>
      <x:c r="H74" s="10" t="str">
        <x:v>C - Pas de filiale maritime distincte identifiée dans les sources utilisées</x:v>
      </x:c>
    </x:row>
    <x:row r="75">
      <x:c r="A75" s="10" t="str">
        <x:v>G074</x:v>
      </x:c>
      <x:c r="B75" s="10" t="str">
        <x:v>Asean Seas Line (ASL)</x:v>
      </x:c>
      <x:c r="C75" s="10" t="str">
        <x:v>OUI</x:v>
      </x:c>
      <x:c r="D75" s="10" t="str">
        <x:v>NE</x:v>
      </x:c>
      <x:c r="E75" s="10" t="n">
        <x:f>COUNTIFS('Hiérarchie compagnies V5'!$A$2:$A$153,A75,'Hiérarchie compagnies V5'!$D$2:$D$153,"FILIALE / MARQUE / ENTITÉ")</x:f>
        <x:v>0</x:v>
      </x:c>
      <x:c r="F75" s="10" t="n">
        <x:f>COUNTIF('Navires hiérarchisés V5'!$A$2:$A$229,A75)</x:f>
        <x:v>0</x:v>
      </x:c>
      <x:c r="G75" s="10" t="str">
        <x:v>https://aslshipping.com</x:v>
      </x:c>
      <x:c r="H75" s="10" t="str">
        <x:v>C - Pas de filiale maritime distincte identifiée dans les sources utilisées</x:v>
      </x:c>
    </x:row>
    <x:row r="76">
      <x:c r="A76" s="10" t="str">
        <x:v>G075</x:v>
      </x:c>
      <x:c r="B76" s="10" t="str">
        <x:v>MTT Shipping</x:v>
      </x:c>
      <x:c r="C76" s="10" t="str">
        <x:v>OUI</x:v>
      </x:c>
      <x:c r="D76" s="10" t="str">
        <x:v>NE</x:v>
      </x:c>
      <x:c r="E76" s="10" t="n">
        <x:f>COUNTIFS('Hiérarchie compagnies V5'!$A$2:$A$153,A76,'Hiérarchie compagnies V5'!$D$2:$D$153,"FILIALE / MARQUE / ENTITÉ")</x:f>
        <x:v>0</x:v>
      </x:c>
      <x:c r="F76" s="10" t="n">
        <x:f>COUNTIF('Navires hiérarchisés V5'!$A$2:$A$229,A76)</x:f>
        <x:v>0</x:v>
      </x:c>
      <x:c r="G76" s="10" t="str">
        <x:v>https://mttshipping.com.my</x:v>
      </x:c>
      <x:c r="H76" s="10" t="str">
        <x:v>C - Pas de filiale maritime distincte identifiée dans les sources utilisées</x:v>
      </x:c>
    </x:row>
    <x:row r="77">
      <x:c r="A77" s="10" t="str">
        <x:v>G076</x:v>
      </x:c>
      <x:c r="B77" s="10" t="str">
        <x:v>Taicang Container Lines</x:v>
      </x:c>
      <x:c r="C77" s="10" t="str">
        <x:v>OUI</x:v>
      </x:c>
      <x:c r="D77" s="10" t="str">
        <x:v>NE</x:v>
      </x:c>
      <x:c r="E77" s="10" t="n">
        <x:f>COUNTIFS('Hiérarchie compagnies V5'!$A$2:$A$153,A77,'Hiérarchie compagnies V5'!$D$2:$D$153,"FILIALE / MARQUE / ENTITÉ")</x:f>
        <x:v>0</x:v>
      </x:c>
      <x:c r="F77" s="10" t="n">
        <x:f>COUNTIF('Navires hiérarchisés V5'!$A$2:$A$229,A77)</x:f>
        <x:v>0</x:v>
      </x:c>
      <x:c r="G77" s="10" t="str"/>
      <x:c r="H77" s="10" t="str">
        <x:v>C - Pas de filiale maritime distincte identifiée dans les sources utilisées</x:v>
      </x:c>
    </x:row>
    <x:row r="78">
      <x:c r="A78" s="10" t="str">
        <x:v>G077</x:v>
      </x:c>
      <x:c r="B78" s="10" t="str">
        <x:v>Milaha Container Shipping</x:v>
      </x:c>
      <x:c r="C78" s="10" t="str">
        <x:v>OUI</x:v>
      </x:c>
      <x:c r="D78" s="10" t="str">
        <x:v>EU-A</x:v>
      </x:c>
      <x:c r="E78" s="10" t="n">
        <x:f>COUNTIFS('Hiérarchie compagnies V5'!$A$2:$A$153,A78,'Hiérarchie compagnies V5'!$D$2:$D$153,"FILIALE / MARQUE / ENTITÉ")</x:f>
        <x:v>0</x:v>
      </x:c>
      <x:c r="F78" s="10" t="n">
        <x:f>COUNTIF('Navires hiérarchisés V5'!$A$2:$A$229,A78)</x:f>
        <x:v>0</x:v>
      </x:c>
      <x:c r="G78" s="10" t="str">
        <x:v>https://milaha.com</x:v>
      </x:c>
      <x:c r="H78" s="10" t="str">
        <x:v>C - Pas de filiale maritime distincte identifiée dans les sources utilisées</x:v>
      </x:c>
    </x:row>
    <x:row r="79">
      <x:c r="A79" s="10" t="str">
        <x:v>G078</x:v>
      </x:c>
      <x:c r="B79" s="10" t="str">
        <x:v>UAFL (United Africa Feeder Line)</x:v>
      </x:c>
      <x:c r="C79" s="10" t="str">
        <x:v>OUI</x:v>
      </x:c>
      <x:c r="D79" s="10" t="str">
        <x:v>NE</x:v>
      </x:c>
      <x:c r="E79" s="10" t="n">
        <x:f>COUNTIFS('Hiérarchie compagnies V5'!$A$2:$A$153,A79,'Hiérarchie compagnies V5'!$D$2:$D$153,"FILIALE / MARQUE / ENTITÉ")</x:f>
        <x:v>0</x:v>
      </x:c>
      <x:c r="F79" s="10" t="n">
        <x:f>COUNTIF('Navires hiérarchisés V5'!$A$2:$A$229,A79)</x:f>
        <x:v>0</x:v>
      </x:c>
      <x:c r="G79" s="10" t="str">
        <x:v>https://uaflshipping.com</x:v>
      </x:c>
      <x:c r="H79" s="10" t="str">
        <x:v>C - Pas de filiale maritime distincte identifiée dans les sources utilisées</x:v>
      </x:c>
    </x:row>
    <x:row r="80">
      <x:c r="A80" s="10" t="str">
        <x:v>G079</x:v>
      </x:c>
      <x:c r="B80" s="10" t="str">
        <x:v>ASYAD Line</x:v>
      </x:c>
      <x:c r="C80" s="10" t="str">
        <x:v>OUI</x:v>
      </x:c>
      <x:c r="D80" s="10" t="str">
        <x:v>NE</x:v>
      </x:c>
      <x:c r="E80" s="10" t="n">
        <x:f>COUNTIFS('Hiérarchie compagnies V5'!$A$2:$A$153,A80,'Hiérarchie compagnies V5'!$D$2:$D$153,"FILIALE / MARQUE / ENTITÉ")</x:f>
        <x:v>0</x:v>
      </x:c>
      <x:c r="F80" s="10" t="n">
        <x:f>COUNTIF('Navires hiérarchisés V5'!$A$2:$A$229,A80)</x:f>
        <x:v>0</x:v>
      </x:c>
      <x:c r="G80" s="10" t="str">
        <x:v>https://asyadline.com</x:v>
      </x:c>
      <x:c r="H80" s="10" t="str">
        <x:v>C - Pas de filiale maritime distincte identifiée dans les sources utilisées</x:v>
      </x:c>
    </x:row>
    <x:row r="81">
      <x:c r="A81" s="10" t="str">
        <x:v>G080</x:v>
      </x:c>
      <x:c r="B81" s="10" t="str">
        <x:v>Ethiopian Shipping &amp; Logistics</x:v>
      </x:c>
      <x:c r="C81" s="10" t="str">
        <x:v>OUI</x:v>
      </x:c>
      <x:c r="D81" s="10" t="str">
        <x:v>NE</x:v>
      </x:c>
      <x:c r="E81" s="10" t="n">
        <x:f>COUNTIFS('Hiérarchie compagnies V5'!$A$2:$A$153,A81,'Hiérarchie compagnies V5'!$D$2:$D$153,"FILIALE / MARQUE / ENTITÉ")</x:f>
        <x:v>0</x:v>
      </x:c>
      <x:c r="F81" s="10" t="n">
        <x:f>COUNTIF('Navires hiérarchisés V5'!$A$2:$A$229,A81)</x:f>
        <x:v>0</x:v>
      </x:c>
      <x:c r="G81" s="10" t="str">
        <x:v>https://eslse.et</x:v>
      </x:c>
      <x:c r="H81" s="10" t="str">
        <x:v>C - Pas de filiale maritime distincte identifiée dans les sources utilisées</x:v>
      </x:c>
    </x:row>
    <x:row r="82">
      <x:c r="A82" s="10" t="str">
        <x:v>G081</x:v>
      </x:c>
      <x:c r="B82" s="10" t="str">
        <x:v>Bermuda Container Line</x:v>
      </x:c>
      <x:c r="C82" s="10" t="str">
        <x:v>OUI</x:v>
      </x:c>
      <x:c r="D82" s="10" t="str">
        <x:v>NE</x:v>
      </x:c>
      <x:c r="E82" s="10" t="n">
        <x:f>COUNTIFS('Hiérarchie compagnies V5'!$A$2:$A$153,A82,'Hiérarchie compagnies V5'!$D$2:$D$153,"FILIALE / MARQUE / ENTITÉ")</x:f>
        <x:v>0</x:v>
      </x:c>
      <x:c r="F82" s="10" t="n">
        <x:f>COUNTIF('Navires hiérarchisés V5'!$A$2:$A$229,A82)</x:f>
        <x:v>0</x:v>
      </x:c>
      <x:c r="G82" s="10" t="str">
        <x:v>https://bcl.bm</x:v>
      </x:c>
      <x:c r="H82" s="10" t="str">
        <x:v>C - Pas de filiale maritime distincte identifiée dans les sources utilisées</x:v>
      </x:c>
    </x:row>
    <x:row r="83">
      <x:c r="A83" s="10" t="str">
        <x:v>G082</x:v>
      </x:c>
      <x:c r="B83" s="10" t="str">
        <x:v>StreamLines</x:v>
      </x:c>
      <x:c r="C83" s="10" t="str">
        <x:v>OUI</x:v>
      </x:c>
      <x:c r="D83" s="10" t="str">
        <x:v>EU-A</x:v>
      </x:c>
      <x:c r="E83" s="10" t="n">
        <x:f>COUNTIFS('Hiérarchie compagnies V5'!$A$2:$A$153,A83,'Hiérarchie compagnies V5'!$D$2:$D$153,"FILIALE / MARQUE / ENTITÉ")</x:f>
        <x:v>0</x:v>
      </x:c>
      <x:c r="F83" s="10" t="n">
        <x:f>COUNTIF('Navires hiérarchisés V5'!$A$2:$A$229,A83)</x:f>
        <x:v>0</x:v>
      </x:c>
      <x:c r="G83" s="10" t="str">
        <x:v>https://reamlinesnv.com</x:v>
      </x:c>
      <x:c r="H83" s="10" t="str">
        <x:v>C - Pas de filiale maritime distincte identifiée dans les sources utilisées</x:v>
      </x:c>
    </x:row>
    <x:row r="84">
      <x:c r="A84" s="10" t="str">
        <x:v>G083</x:v>
      </x:c>
      <x:c r="B84" s="10" t="str">
        <x:v>Trailer Bridge</x:v>
      </x:c>
      <x:c r="C84" s="10" t="str">
        <x:v>OUI</x:v>
      </x:c>
      <x:c r="D84" s="10" t="str">
        <x:v>NE</x:v>
      </x:c>
      <x:c r="E84" s="10" t="n">
        <x:f>COUNTIFS('Hiérarchie compagnies V5'!$A$2:$A$153,A84,'Hiérarchie compagnies V5'!$D$2:$D$153,"FILIALE / MARQUE / ENTITÉ")</x:f>
        <x:v>0</x:v>
      </x:c>
      <x:c r="F84" s="10" t="n">
        <x:f>COUNTIF('Navires hiérarchisés V5'!$A$2:$A$229,A84)</x:f>
        <x:v>0</x:v>
      </x:c>
      <x:c r="G84" s="10" t="str">
        <x:v>https://railerbridge.com</x:v>
      </x:c>
      <x:c r="H84" s="10" t="str">
        <x:v>C - Pas de filiale maritime distincte identifiée dans les sources utilisées</x:v>
      </x:c>
    </x:row>
    <x:row r="85">
      <x:c r="A85" s="10" t="str">
        <x:v>G084</x:v>
      </x:c>
      <x:c r="B85" s="10" t="str">
        <x:v>Carpenters Shipping</x:v>
      </x:c>
      <x:c r="C85" s="10" t="str">
        <x:v>OUI</x:v>
      </x:c>
      <x:c r="D85" s="10" t="str">
        <x:v>NE</x:v>
      </x:c>
      <x:c r="E85" s="10" t="n">
        <x:f>COUNTIFS('Hiérarchie compagnies V5'!$A$2:$A$153,A85,'Hiérarchie compagnies V5'!$D$2:$D$153,"FILIALE / MARQUE / ENTITÉ")</x:f>
        <x:v>0</x:v>
      </x:c>
      <x:c r="F85" s="10" t="n">
        <x:f>COUNTIF('Navires hiérarchisés V5'!$A$2:$A$229,A85)</x:f>
        <x:v>0</x:v>
      </x:c>
      <x:c r="G85" s="10" t="str">
        <x:v>https://carpentersshipping.com</x:v>
      </x:c>
      <x:c r="H85" s="10" t="str">
        <x:v>C - Pas de filiale maritime distincte identifiée dans les sources utilisées</x:v>
      </x:c>
    </x:row>
    <x:row r="86">
      <x:c r="A86" s="10" t="str">
        <x:v>G085</x:v>
      </x:c>
      <x:c r="B86" s="10" t="str">
        <x:v>Polynesia Line</x:v>
      </x:c>
      <x:c r="C86" s="10" t="str">
        <x:v>OUI</x:v>
      </x:c>
      <x:c r="D86" s="10" t="str">
        <x:v>NE</x:v>
      </x:c>
      <x:c r="E86" s="10" t="n">
        <x:f>COUNTIFS('Hiérarchie compagnies V5'!$A$2:$A$153,A86,'Hiérarchie compagnies V5'!$D$2:$D$153,"FILIALE / MARQUE / ENTITÉ")</x:f>
        <x:v>0</x:v>
      </x:c>
      <x:c r="F86" s="10" t="n">
        <x:f>COUNTIF('Navires hiérarchisés V5'!$A$2:$A$229,A86)</x:f>
        <x:v>0</x:v>
      </x:c>
      <x:c r="G86" s="10" t="str">
        <x:v>https://olynesialine.com</x:v>
      </x:c>
      <x:c r="H86" s="10" t="str">
        <x:v>C - Pas de filiale maritime distincte identifiée dans les sources utilisées</x:v>
      </x:c>
    </x:row>
    <x:row r="87">
      <x:c r="A87" s="10" t="str">
        <x:v>G086</x:v>
      </x:c>
      <x:c r="B87" s="10" t="str">
        <x:v>Trans Asia Shipping Lines</x:v>
      </x:c>
      <x:c r="C87" s="10" t="str">
        <x:v>OUI</x:v>
      </x:c>
      <x:c r="D87" s="10" t="str">
        <x:v>NE</x:v>
      </x:c>
      <x:c r="E87" s="10" t="n">
        <x:f>COUNTIFS('Hiérarchie compagnies V5'!$A$2:$A$153,A87,'Hiérarchie compagnies V5'!$D$2:$D$153,"FILIALE / MARQUE / ENTITÉ")</x:f>
        <x:v>0</x:v>
      </x:c>
      <x:c r="F87" s="10" t="n">
        <x:f>COUNTIF('Navires hiérarchisés V5'!$A$2:$A$229,A87)</x:f>
        <x:v>0</x:v>
      </x:c>
      <x:c r="G87" s="10" t="str">
        <x:v>https://ransasiashipping.com</x:v>
      </x:c>
      <x:c r="H87" s="10" t="str">
        <x:v>C - Pas de filiale maritime distincte identifiée dans les sources utilisées</x:v>
      </x:c>
    </x:row>
    <x:row r="88">
      <x:c r="A88" s="10" t="str">
        <x:v>G087</x:v>
      </x:c>
      <x:c r="B88" s="10" t="str">
        <x:v>Shipping Corporation of India (SCI)</x:v>
      </x:c>
      <x:c r="C88" s="10" t="str">
        <x:v>OUI</x:v>
      </x:c>
      <x:c r="D88" s="10" t="str">
        <x:v>EU-B</x:v>
      </x:c>
      <x:c r="E88" s="10" t="n">
        <x:f>COUNTIFS('Hiérarchie compagnies V5'!$A$2:$A$153,A88,'Hiérarchie compagnies V5'!$D$2:$D$153,"FILIALE / MARQUE / ENTITÉ")</x:f>
        <x:v>0</x:v>
      </x:c>
      <x:c r="F88" s="10" t="n">
        <x:f>COUNTIF('Navires hiérarchisés V5'!$A$2:$A$229,A88)</x:f>
        <x:v>1</x:v>
      </x:c>
      <x:c r="G88" s="10" t="str">
        <x:v>https://ipindia.com</x:v>
      </x:c>
      <x:c r="H88" s="10" t="str">
        <x:v>C - Pas de filiale maritime distincte identifiée dans les sources utilisées</x:v>
      </x:c>
    </x:row>
    <x:row r="89">
      <x:c r="A89" s="10" t="str">
        <x:v>G088</x:v>
      </x:c>
      <x:c r="B89" s="10" t="str">
        <x:v>Samskip</x:v>
      </x:c>
      <x:c r="C89" s="10" t="str">
        <x:v>OUI</x:v>
      </x:c>
      <x:c r="D89" s="10" t="str">
        <x:v>EU-A</x:v>
      </x:c>
      <x:c r="E89" s="10" t="n">
        <x:f>COUNTIFS('Hiérarchie compagnies V5'!$A$2:$A$153,A89,'Hiérarchie compagnies V5'!$D$2:$D$153,"FILIALE / MARQUE / ENTITÉ")</x:f>
        <x:v>2</x:v>
      </x:c>
      <x:c r="F89" s="10" t="n">
        <x:f>COUNTIF('Navires hiérarchisés V5'!$A$2:$A$229,A89)</x:f>
        <x:v>0</x:v>
      </x:c>
      <x:c r="G89" s="10" t="str">
        <x:v>https://alphaliner.axsmarine.com/PublicTop100//</x:v>
      </x:c>
      <x:c r="H89" s="10" t="str">
        <x:v>A - Filiales consolidées publiquement listées par Alphaliner</x:v>
      </x:c>
    </x:row>
    <x:row r="90">
      <x:c r="A90" s="10" t="str">
        <x:v>G089</x:v>
      </x:c>
      <x:c r="B90" s="10" t="str">
        <x:v>CLdN</x:v>
      </x:c>
      <x:c r="C90" s="10" t="str">
        <x:v>OUI</x:v>
      </x:c>
      <x:c r="D90" s="10" t="str">
        <x:v>EU-A</x:v>
      </x:c>
      <x:c r="E90" s="10" t="n">
        <x:f>COUNTIFS('Hiérarchie compagnies V5'!$A$2:$A$153,A90,'Hiérarchie compagnies V5'!$D$2:$D$153,"FILIALE / MARQUE / ENTITÉ")</x:f>
        <x:v>0</x:v>
      </x:c>
      <x:c r="F90" s="10" t="n">
        <x:f>COUNTIF('Navires hiérarchisés V5'!$A$2:$A$229,A90)</x:f>
        <x:v>0</x:v>
      </x:c>
      <x:c r="G90" s="10" t="str">
        <x:v>https://cldn.com</x:v>
      </x:c>
      <x:c r="H90" s="10" t="str">
        <x:v>C - Pas de filiale maritime distincte identifiée dans les sources utilisées</x:v>
      </x:c>
    </x:row>
    <x:row r="91">
      <x:c r="A91" s="10" t="str">
        <x:v>G090</x:v>
      </x:c>
      <x:c r="B91" s="10" t="str">
        <x:v>Transworld Group</x:v>
      </x:c>
      <x:c r="C91" s="10" t="str">
        <x:v>AJOUT V5</x:v>
      </x:c>
      <x:c r="D91" s="10" t="str">
        <x:v>À qualifier</x:v>
      </x:c>
      <x:c r="E91" s="10" t="n">
        <x:f>COUNTIFS('Hiérarchie compagnies V5'!$A$2:$A$153,A91,'Hiérarchie compagnies V5'!$D$2:$D$153,"FILIALE / MARQUE / ENTITÉ")</x:f>
        <x:v>1</x:v>
      </x:c>
      <x:c r="F91" s="10" t="n">
        <x:f>COUNTIF('Navires hiérarchisés V5'!$A$2:$A$229,A91)</x:f>
        <x:v>0</x:v>
      </x:c>
      <x:c r="G91" s="10" t="str">
        <x:v>https://alphaliner.axsmarine.com/PublicTop100//</x:v>
      </x:c>
      <x:c r="H91" s="10" t="str">
        <x:v>A - Filiales consolidées publiquement listées par Alphaliner</x:v>
      </x:c>
    </x:row>
    <x:row r="92">
      <x:c r="A92" s="10" t="str">
        <x:v>G091</x:v>
      </x:c>
      <x:c r="B92" s="10" t="str">
        <x:v>Rifline</x:v>
      </x:c>
      <x:c r="C92" s="10" t="str">
        <x:v>AJOUT V5</x:v>
      </x:c>
      <x:c r="D92" s="10" t="str">
        <x:v>À qualifier</x:v>
      </x:c>
      <x:c r="E92" s="10" t="n">
        <x:f>COUNTIFS('Hiérarchie compagnies V5'!$A$2:$A$153,A92,'Hiérarchie compagnies V5'!$D$2:$D$153,"FILIALE / MARQUE / ENTITÉ")</x:f>
        <x:v>1</x:v>
      </x:c>
      <x:c r="F92" s="10" t="n">
        <x:f>COUNTIF('Navires hiérarchisés V5'!$A$2:$A$229,A92)</x:f>
        <x:v>0</x:v>
      </x:c>
      <x:c r="G92" s="10" t="str">
        <x:v>https://alphaliner.axsmarine.com/PublicTop100//</x:v>
      </x:c>
      <x:c r="H92" s="10" t="str">
        <x:v>A - Filiales consolidées publiquement listées par Alphaliner</x:v>
      </x:c>
    </x:row>
    <x:row r="93">
      <x:c r="A93" s="10" t="str">
        <x:v>G092</x:v>
      </x:c>
      <x:c r="B93" s="10" t="str">
        <x:v>Peel Ports</x:v>
      </x:c>
      <x:c r="C93" s="10" t="str">
        <x:v>AJOUT V5</x:v>
      </x:c>
      <x:c r="D93" s="10" t="str">
        <x:v>Europe</x:v>
      </x:c>
      <x:c r="E93" s="10" t="n">
        <x:f>COUNTIFS('Hiérarchie compagnies V5'!$A$2:$A$153,A93,'Hiérarchie compagnies V5'!$D$2:$D$153,"FILIALE / MARQUE / ENTITÉ")</x:f>
        <x:v>1</x:v>
      </x:c>
      <x:c r="F93" s="10" t="n">
        <x:f>COUNTIF('Navires hiérarchisés V5'!$A$2:$A$229,A93)</x:f>
        <x:v>1</x:v>
      </x:c>
      <x:c r="G93" s="10" t="str">
        <x:v>https://alphaliner.axsmarine.com/PublicTop100//</x:v>
      </x:c>
      <x:c r="H93" s="10" t="str">
        <x:v>A - Filiales consolidées publiquement listées par Alphaliner</x:v>
      </x:c>
    </x:row>
    <x:row r="94">
      <x:c r="A94" s="10" t="str">
        <x:v>G093</x:v>
      </x:c>
      <x:c r="B94" s="10" t="str">
        <x:v>GS Lines</x:v>
      </x:c>
      <x:c r="C94" s="10" t="str">
        <x:v>AJOUT V5</x:v>
      </x:c>
      <x:c r="D94" s="10" t="str">
        <x:v>À qualifier</x:v>
      </x:c>
      <x:c r="E94" s="10" t="n">
        <x:f>COUNTIFS('Hiérarchie compagnies V5'!$A$2:$A$153,A94,'Hiérarchie compagnies V5'!$D$2:$D$153,"FILIALE / MARQUE / ENTITÉ")</x:f>
        <x:v>1</x:v>
      </x:c>
      <x:c r="F94" s="10" t="n">
        <x:f>COUNTIF('Navires hiérarchisés V5'!$A$2:$A$229,A94)</x:f>
        <x:v>0</x:v>
      </x:c>
      <x:c r="G94" s="10" t="str">
        <x:v>https://alphaliner.axsmarine.com/PublicTop100//</x:v>
      </x:c>
      <x:c r="H94" s="10" t="str">
        <x:v>A - Filiales consolidées publiquement listées par Alphaliner</x:v>
      </x:c>
    </x:row>
  </x:sheetData>
  <x:conditionalFormatting sqref="H2:H94">
    <x:cfRule type="expression" dxfId="24" priority="1">
      <x:formula>LEFT(H2,1)="A"</x:formula>
    </x:cfRule>
    <x:cfRule type="expression" dxfId="25" priority="2">
      <x:formula>LEFT(H2,1)="B"</x:formula>
    </x:cfRule>
    <x:cfRule type="expression" dxfId="26" priority="3">
      <x:formula>LEFT(H2,1)="C"</x:formula>
    </x:cfRule>
  </x:conditionalFormatting>
  <x:pageMargins left="0.7" right="0.7" top="0.75" bottom="0.75" header="0.3" footer="0.3"/>
  <x:tableParts count="1">
    <x:tablePart xmlns:r="http://schemas.openxmlformats.org/officeDocument/2006/relationships" r:id="R017361a097954f16"/>
  </x:tableParts>
</x:worksheet>
</file>

<file path=xl/worksheets/sheet10.xml><?xml version="1.0" encoding="utf-8"?>
<x:worksheet xmlns:x="http://schemas.openxmlformats.org/spreadsheetml/2006/main">
  <x:sheetFormatPr defaultRowHeight="15"/>
  <x:cols>
    <x:col min="1" max="1" width="42" hidden="0" customWidth="1"/>
    <x:col min="2" max="2" width="16" hidden="0" customWidth="1"/>
    <x:col min="3" max="3" width="4" hidden="0" customWidth="1"/>
    <x:col min="4" max="4" width="18" hidden="0" customWidth="1"/>
    <x:col min="5" max="5" width="46" hidden="0" customWidth="1"/>
    <x:col min="6" max="6" width="32" hidden="0" customWidth="1"/>
    <x:col min="7" max="7" width="4" hidden="0" customWidth="1"/>
    <x:col min="8" max="8" width="4" hidden="0" customWidth="1"/>
  </x:cols>
  <x:sheetData>
    <x:row r="1" ht="32" customHeight="1">
      <x:c r="A1" s="47" t="str">
        <x:v>V5 — HIÉRARCHIE COMPAGNIES / FILIALES / NAVIRES</x:v>
      </x:c>
      <x:c r="B1" s="47"/>
      <x:c r="C1" s="47"/>
      <x:c r="D1" s="47"/>
      <x:c r="E1" s="47"/>
      <x:c r="F1" s="47"/>
      <x:c r="G1" s="47"/>
      <x:c r="H1" s="47"/>
    </x:row>
    <x:row r="3">
      <x:c r="A3" s="49" t="str">
        <x:v>Indicateur</x:v>
      </x:c>
      <x:c r="B3" s="49" t="str">
        <x:v>Valeur</x:v>
      </x:c>
      <x:c r="D3" s="49" t="str">
        <x:v>Repère</x:v>
      </x:c>
      <x:c r="E3" s="49" t="str">
        <x:v>Signification</x:v>
      </x:c>
      <x:c r="F3" s="49" t="str">
        <x:v>Exemple</x:v>
      </x:c>
    </x:row>
    <x:row r="4">
      <x:c r="A4" s="28" t="str">
        <x:v>Maisons mères / groupes dans la hiérarchie</x:v>
      </x:c>
      <x:c r="B4" t="n">
        <x:f>COUNTA('Couverture filiales V5'!B2:B94)</x:f>
        <x:v>93</x:v>
      </x:c>
      <x:c r="D4" s="10" t="str">
        <x:v>🏢</x:v>
      </x:c>
      <x:c r="E4" s="10" t="str">
        <x:v>Maison mère / groupe</x:v>
      </x:c>
      <x:c r="F4" s="10" t="str">
        <x:v>G003 · CMA CGM Group</x:v>
      </x:c>
    </x:row>
    <x:row r="5">
      <x:c r="A5" s="28" t="str">
        <x:v>Groupes V4 conservés</x:v>
      </x:c>
      <x:c r="B5" t="n">
        <x:f>COUNTIF('Couverture filiales V5'!C2:C94,"OUI")</x:f>
        <x:v>89</x:v>
      </x:c>
      <x:c r="D5" s="10" t="str">
        <x:v>↳</x:v>
      </x:c>
      <x:c r="E5" s="10" t="str">
        <x:v>Filiale / marque / entité</x:v>
      </x:c>
      <x:c r="F5" s="10" t="str">
        <x:v>G003-F01 · ANL</x:v>
      </x:c>
    </x:row>
    <x:row r="6">
      <x:c r="A6" s="28" t="str">
        <x:v>Nouveaux groupes parents ajoutés V5</x:v>
      </x:c>
      <x:c r="B6" t="n">
        <x:f>COUNTIF('Couverture filiales V5'!C2:C94,"AJOUT V5")</x:f>
        <x:v>4</x:v>
      </x:c>
      <x:c r="D6" s="10" t="str">
        <x:v>Gxxx</x:v>
      </x:c>
      <x:c r="E6" s="10" t="str">
        <x:v>Identifiant stable du groupe</x:v>
      </x:c>
      <x:c r="F6" s="10" t="str">
        <x:v>Permet de rattacher tous les navires/filiales</x:v>
      </x:c>
    </x:row>
    <x:row r="7">
      <x:c r="A7" s="28" t="str">
        <x:v>Filiales / marques / entités identifiées</x:v>
      </x:c>
      <x:c r="B7" t="n">
        <x:f>COUNTIF('Hiérarchie compagnies V5'!D2:D153,"FILIALE / MARQUE / ENTITÉ")</x:f>
        <x:v>59</x:v>
      </x:c>
      <x:c r="D7" s="10" t="str">
        <x:v>Gxxx-Fxx</x:v>
      </x:c>
      <x:c r="E7" s="10" t="str">
        <x:v>Identifiant stable de filiale</x:v>
      </x:c>
      <x:c r="F7" s="10" t="str">
        <x:v>Permet le filtre par marque sans perdre la maison mère</x:v>
      </x:c>
    </x:row>
    <x:row r="8">
      <x:c r="A8" s="28" t="str">
        <x:v>Groupes avec filiales explicites identifiées</x:v>
      </x:c>
      <x:c r="B8" t="n">
        <x:f>COUNTIF('Couverture filiales V5'!E2:E94,"&gt;0")</x:f>
        <x:v>21</x:v>
      </x:c>
    </x:row>
    <x:row r="9">
      <x:c r="A9" s="28" t="str">
        <x:v>Navires de la base</x:v>
      </x:c>
      <x:c r="B9" t="n">
        <x:f>COUNTA('Navires hiérarchisés V5'!H2:H229)</x:f>
        <x:v>228</x:v>
      </x:c>
    </x:row>
    <x:row r="10">
      <x:c r="A10" s="28" t="str">
        <x:v>Navires rattachés à un Groupe_ID</x:v>
      </x:c>
      <x:c r="B10" t="n">
        <x:f>B9-COUNTIF('Navires hiérarchisés V5'!A2:A229,"COOP-GEMINI")-COUNTIF('Navires hiérarchisés V5'!A2:A229,"IND-TRADEWIND")</x:f>
        <x:v>225</x:v>
      </x:c>
    </x:row>
    <x:row r="11">
      <x:c r="A11" s="28" t="str">
        <x:v>Navires hors hiérarchie parentale</x:v>
      </x:c>
      <x:c r="B11" t="n">
        <x:f>B9-B10</x:f>
        <x:v>3</x:v>
      </x:c>
    </x:row>
    <x:row r="14">
      <x:c r="A14" s="53" t="str">
        <x:v>PÉRIMÈTRE : uniquement les entités liées au transport maritime conteneurisé. Les filiales logistiques, terminaux, fret aérien, médias, etc. ne sont pas ajoutées. La V5 intègre toutes les filiales/marques consolidées explicitement visibles sur la page publique Alphaliner Top 100 et les entités déjà identifiées dans la V4. Les groupes classés « C » peuvent encore posséder des filiales juridiques ou locales non exposées publiquement.</x:v>
      </x:c>
      <x:c r="B14" s="53"/>
      <x:c r="C14" s="53"/>
      <x:c r="D14" s="53"/>
      <x:c r="E14" s="53"/>
      <x:c r="F14" s="53"/>
      <x:c r="G14" s="53"/>
      <x:c r="H14" s="53"/>
    </x:row>
    <x:row r="15">
      <x:c r="A15" s="53"/>
      <x:c r="B15" s="53"/>
      <x:c r="C15" s="53"/>
      <x:c r="D15" s="53"/>
      <x:c r="E15" s="53"/>
      <x:c r="F15" s="53"/>
      <x:c r="G15" s="53"/>
      <x:c r="H15" s="53"/>
    </x:row>
    <x:row r="16">
      <x:c r="A16" s="53"/>
      <x:c r="B16" s="53"/>
      <x:c r="C16" s="53"/>
      <x:c r="D16" s="53"/>
      <x:c r="E16" s="53"/>
      <x:c r="F16" s="53"/>
      <x:c r="G16" s="53"/>
      <x:c r="H16" s="53"/>
    </x:row>
    <x:row r="17">
      <x:c r="A17" s="53"/>
      <x:c r="B17" s="53"/>
      <x:c r="C17" s="53"/>
      <x:c r="D17" s="53"/>
      <x:c r="E17" s="53"/>
      <x:c r="F17" s="53"/>
      <x:c r="G17" s="53"/>
      <x:c r="H17" s="53"/>
    </x:row>
    <x:row r="18">
      <x:c r="A18" s="53"/>
      <x:c r="B18" s="53"/>
      <x:c r="C18" s="53"/>
      <x:c r="D18" s="53"/>
      <x:c r="E18" s="53"/>
      <x:c r="F18" s="53"/>
      <x:c r="G18" s="53"/>
      <x:c r="H18" s="53"/>
    </x:row>
    <x:row r="20">
      <x:c r="A20" s="57" t="str">
        <x:v>IMPORTANT : Alphaliner indique qu'il existe environ 250 groupes opérateurs et qu'en séparant toutes les filiales le nombre d'opérateurs approcherait 500. Sa page publique ne fournit toutefois pas une liste détaillée de ces ~500 entités. Cette feuille distingue donc ce qui est explicitement documenté de ce qui reste à enrichir, au lieu de présenter une fausse exhaustivité.</x:v>
      </x:c>
      <x:c r="B20" s="57"/>
      <x:c r="C20" s="57"/>
      <x:c r="D20" s="57"/>
      <x:c r="E20" s="57"/>
      <x:c r="F20" s="57"/>
      <x:c r="G20" s="57"/>
      <x:c r="H20" s="57"/>
    </x:row>
    <x:row r="21">
      <x:c r="A21" s="57"/>
      <x:c r="B21" s="57"/>
      <x:c r="C21" s="57"/>
      <x:c r="D21" s="57"/>
      <x:c r="E21" s="57"/>
      <x:c r="F21" s="57"/>
      <x:c r="G21" s="57"/>
      <x:c r="H21" s="57"/>
    </x:row>
    <x:row r="22">
      <x:c r="A22" s="57"/>
      <x:c r="B22" s="57"/>
      <x:c r="C22" s="57"/>
      <x:c r="D22" s="57"/>
      <x:c r="E22" s="57"/>
      <x:c r="F22" s="57"/>
      <x:c r="G22" s="57"/>
      <x:c r="H22" s="57"/>
    </x:row>
    <x:row r="23">
      <x:c r="A23" s="57"/>
      <x:c r="B23" s="57"/>
      <x:c r="C23" s="57"/>
      <x:c r="D23" s="57"/>
      <x:c r="E23" s="57"/>
      <x:c r="F23" s="57"/>
      <x:c r="G23" s="57"/>
      <x:c r="H23" s="57"/>
    </x:row>
    <x:row r="24">
      <x:c r="A24" s="57"/>
      <x:c r="B24" s="57"/>
      <x:c r="C24" s="57"/>
      <x:c r="D24" s="57"/>
      <x:c r="E24" s="57"/>
      <x:c r="F24" s="57"/>
      <x:c r="G24" s="57"/>
      <x:c r="H24" s="57"/>
    </x:row>
  </x:sheetData>
  <x:mergeCells>
    <x:mergeCell ref="A1:H1"/>
    <x:mergeCell ref="A14:H18"/>
    <x:mergeCell ref="A20:H24"/>
  </x:mergeCells>
  <x:pageMargins left="0.7" right="0.7" top="0.75" bottom="0.75" header="0.3" footer="0.3"/>
</x:worksheet>
</file>